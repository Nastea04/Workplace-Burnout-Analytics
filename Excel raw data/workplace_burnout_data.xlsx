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929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ataAnalysisJobs\WorkplaceBurnoutAnalytics\"/>
    </mc:Choice>
  </mc:AlternateContent>
  <xr:revisionPtr revIDLastSave="0" documentId="13_ncr:9_{7A14FD07-C457-4AED-8A04-2BFB0D623B1F}" xr6:coauthVersionLast="47" xr6:coauthVersionMax="47" xr10:uidLastSave="{00000000-0000-0000-0000-000000000000}"/>
  <bookViews>
    <workbookView xWindow="-108" yWindow="-108" windowWidth="23256" windowHeight="12456" xr2:uid="{D83B690F-D0AE-45E3-BEBE-F23C80C6E698}"/>
  </bookViews>
  <sheets>
    <sheet name="Employees" sheetId="1" r:id="rId1"/>
    <sheet name="DailyWorkMetrics" sheetId="2" r:id="rId2"/>
    <sheet name="WellbeingMetrics" sheetId="3" r:id="rId3"/>
    <sheet name="BurnoutScores" sheetId="4" r:id="rId4"/>
    <sheet name="Risk" sheetId="5" r:id="rId5"/>
    <sheet name="Departments" sheetId="6" r:id="rId6"/>
    <sheet name="WorkMode" sheetId="7" r:id="rId7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purl.oclc.org/ooxml/spreadsheetml/main">
  <c r="G22" i="4" l="1" a="1"/>
  <c r="G22" i="4"/>
  <c r="G23" i="4" a="1"/>
  <c r="G23" i="4" s="1"/>
  <c r="G24" i="4" a="1"/>
  <c r="G24" i="4"/>
  <c r="G25" i="4" a="1"/>
  <c r="G25" i="4" s="1"/>
  <c r="G26" i="4" a="1"/>
  <c r="G26" i="4"/>
  <c r="G27" i="4" a="1"/>
  <c r="G27" i="4"/>
  <c r="G28" i="4" a="1"/>
  <c r="G28" i="4"/>
  <c r="G29" i="4" a="1"/>
  <c r="G29" i="4" s="1"/>
  <c r="G30" i="4" a="1"/>
  <c r="G30" i="4"/>
  <c r="G31" i="4" a="1"/>
  <c r="G31" i="4"/>
  <c r="G32" i="4" a="1"/>
  <c r="G32" i="4" s="1"/>
  <c r="G33" i="4" a="1"/>
  <c r="G33" i="4" s="1"/>
  <c r="G34" i="4" a="1"/>
  <c r="G34" i="4"/>
  <c r="G35" i="4" a="1"/>
  <c r="G35" i="4"/>
  <c r="G36" i="4" a="1"/>
  <c r="G36" i="4"/>
  <c r="G37" i="4" a="1"/>
  <c r="G37" i="4" s="1"/>
  <c r="G38" i="4" a="1"/>
  <c r="G38" i="4"/>
  <c r="G39" i="4" a="1"/>
  <c r="G39" i="4" s="1"/>
  <c r="G40" i="4" a="1"/>
  <c r="G40" i="4"/>
  <c r="G41" i="4" a="1"/>
  <c r="G41" i="4" s="1"/>
  <c r="H22" i="4" a="1"/>
  <c r="H22" i="4"/>
  <c r="H23" i="4" a="1"/>
  <c r="H23" i="4"/>
  <c r="H24" i="4" a="1"/>
  <c r="H24" i="4" s="1"/>
  <c r="H25" i="4" a="1"/>
  <c r="H25" i="4" s="1"/>
  <c r="H26" i="4" a="1"/>
  <c r="H26" i="4"/>
  <c r="H27" i="4" a="1"/>
  <c r="H27" i="4"/>
  <c r="H28" i="4" a="1"/>
  <c r="H28" i="4" s="1"/>
  <c r="H29" i="4" a="1"/>
  <c r="H29" i="4"/>
  <c r="H30" i="4" a="1"/>
  <c r="H30" i="4" s="1"/>
  <c r="H31" i="4" a="1"/>
  <c r="H31" i="4"/>
  <c r="H32" i="4" a="1"/>
  <c r="H32" i="4" s="1"/>
  <c r="H33" i="4" a="1"/>
  <c r="H33" i="4"/>
  <c r="H34" i="4" a="1"/>
  <c r="H34" i="4" s="1"/>
  <c r="H35" i="4" a="1"/>
  <c r="H35" i="4"/>
  <c r="H36" i="4" a="1"/>
  <c r="H36" i="4" s="1"/>
  <c r="H37" i="4" a="1"/>
  <c r="H37" i="4" s="1"/>
  <c r="H38" i="4" a="1"/>
  <c r="H38" i="4"/>
  <c r="H39" i="4" a="1"/>
  <c r="H39" i="4" s="1"/>
  <c r="H40" i="4" a="1"/>
  <c r="H40" i="4" s="1"/>
  <c r="H41" i="4" a="1"/>
  <c r="H41" i="4"/>
  <c r="I22" i="4" a="1"/>
  <c r="I22" i="4"/>
  <c r="I23" i="4" a="1"/>
  <c r="I23" i="4" s="1"/>
  <c r="I24" i="4" a="1"/>
  <c r="I24" i="4"/>
  <c r="I25" i="4" a="1"/>
  <c r="I25" i="4"/>
  <c r="I26" i="4" a="1"/>
  <c r="I26" i="4" s="1"/>
  <c r="I27" i="4" a="1"/>
  <c r="I27" i="4" s="1"/>
  <c r="I28" i="4" a="1"/>
  <c r="I28" i="4"/>
  <c r="I29" i="4" a="1"/>
  <c r="I29" i="4" s="1"/>
  <c r="I30" i="4" a="1"/>
  <c r="I30" i="4"/>
  <c r="I31" i="4" a="1"/>
  <c r="I31" i="4" s="1"/>
  <c r="I32" i="4" a="1"/>
  <c r="I32" i="4"/>
  <c r="I33" i="4" a="1"/>
  <c r="I33" i="4"/>
  <c r="I34" i="4" a="1"/>
  <c r="I34" i="4"/>
  <c r="I35" i="4" a="1"/>
  <c r="I35" i="4" s="1"/>
  <c r="I36" i="4" a="1"/>
  <c r="I36" i="4"/>
  <c r="I37" i="4" a="1"/>
  <c r="I37" i="4"/>
  <c r="I38" i="4" a="1"/>
  <c r="I38" i="4" s="1"/>
  <c r="I39" i="4" a="1"/>
  <c r="I39" i="4" s="1"/>
  <c r="I40" i="4" a="1"/>
  <c r="I40" i="4"/>
  <c r="I41" i="4" a="1"/>
  <c r="I41" i="4"/>
  <c r="J22" i="4" a="1"/>
  <c r="J22" i="4" s="1"/>
  <c r="J23" i="4" a="1"/>
  <c r="J23" i="4"/>
  <c r="J24" i="4" a="1"/>
  <c r="J24" i="4"/>
  <c r="J25" i="4" a="1"/>
  <c r="J25" i="4"/>
  <c r="J26" i="4" a="1"/>
  <c r="J26" i="4" s="1"/>
  <c r="J27" i="4" a="1"/>
  <c r="J27" i="4" s="1"/>
  <c r="J28" i="4" a="1"/>
  <c r="J28" i="4" s="1"/>
  <c r="J29" i="4" a="1"/>
  <c r="J29" i="4"/>
  <c r="J30" i="4" a="1"/>
  <c r="J30" i="4" s="1"/>
  <c r="J31" i="4" a="1"/>
  <c r="J31" i="4" s="1"/>
  <c r="J32" i="4" a="1"/>
  <c r="J32" i="4"/>
  <c r="J33" i="4" a="1"/>
  <c r="J33" i="4"/>
  <c r="J34" i="4" a="1"/>
  <c r="J34" i="4" s="1"/>
  <c r="J35" i="4" a="1"/>
  <c r="J35" i="4"/>
  <c r="J36" i="4" a="1"/>
  <c r="J36" i="4" s="1"/>
  <c r="J37" i="4" a="1"/>
  <c r="J37" i="4"/>
  <c r="J38" i="4" a="1"/>
  <c r="J38" i="4" s="1"/>
  <c r="J39" i="4" a="1"/>
  <c r="J39" i="4"/>
  <c r="J40" i="4" a="1"/>
  <c r="J40" i="4" s="1"/>
  <c r="J41" i="4" a="1"/>
  <c r="J41" i="4"/>
  <c r="K22" i="4" a="1"/>
  <c r="K22" i="4"/>
  <c r="K23" i="4" a="1"/>
  <c r="K23" i="4" s="1"/>
  <c r="K24" i="4" a="1"/>
  <c r="K24" i="4"/>
  <c r="K25" i="4" a="1"/>
  <c r="K25" i="4" s="1"/>
  <c r="K26" i="4" a="1"/>
  <c r="K26" i="4"/>
  <c r="K27" i="4" a="1"/>
  <c r="K27" i="4"/>
  <c r="K28" i="4" a="1"/>
  <c r="K28" i="4"/>
  <c r="K29" i="4" a="1"/>
  <c r="K29" i="4" s="1"/>
  <c r="K30" i="4" a="1"/>
  <c r="K30" i="4"/>
  <c r="K31" i="4" a="1"/>
  <c r="K31" i="4"/>
  <c r="K32" i="4" a="1"/>
  <c r="K32" i="4" s="1"/>
  <c r="K33" i="4" a="1"/>
  <c r="K33" i="4" s="1"/>
  <c r="K34" i="4" a="1"/>
  <c r="K34" i="4" s="1"/>
  <c r="K35" i="4" a="1"/>
  <c r="K35" i="4"/>
  <c r="K36" i="4" a="1"/>
  <c r="K36" i="4"/>
  <c r="K37" i="4" a="1"/>
  <c r="K37" i="4" s="1"/>
  <c r="K38" i="4" a="1"/>
  <c r="K38" i="4" s="1"/>
  <c r="K39" i="4" a="1"/>
  <c r="K39" i="4"/>
  <c r="K40" i="4" a="1"/>
  <c r="K40" i="4"/>
  <c r="K41" i="4" a="1"/>
  <c r="K41" i="4" s="1"/>
  <c r="L22" i="4" a="1"/>
  <c r="L22" i="4"/>
  <c r="L23" i="4" a="1"/>
  <c r="L23" i="4" s="1"/>
  <c r="F23" i="4" s="1"/>
  <c r="L24" i="4" a="1"/>
  <c r="L24" i="4" s="1"/>
  <c r="L25" i="4" a="1"/>
  <c r="L25" i="4"/>
  <c r="L26" i="4" a="1"/>
  <c r="L26" i="4"/>
  <c r="F26" i="4" s="1"/>
  <c r="L27" i="4" a="1"/>
  <c r="L27" i="4" s="1"/>
  <c r="L28" i="4" a="1"/>
  <c r="L28" i="4" s="1"/>
  <c r="L29" i="4" a="1"/>
  <c r="L29" i="4"/>
  <c r="L30" i="4" a="1"/>
  <c r="L30" i="4" s="1"/>
  <c r="L31" i="4" a="1"/>
  <c r="L31" i="4"/>
  <c r="L32" i="4" a="1"/>
  <c r="L32" i="4" s="1"/>
  <c r="L33" i="4" a="1"/>
  <c r="L33" i="4"/>
  <c r="L34" i="4" a="1"/>
  <c r="L34" i="4"/>
  <c r="F34" i="4" s="1"/>
  <c r="L35" i="4" a="1"/>
  <c r="L35" i="4"/>
  <c r="L36" i="4" a="1"/>
  <c r="L36" i="4" s="1"/>
  <c r="L37" i="4" a="1"/>
  <c r="L37" i="4"/>
  <c r="L38" i="4" a="1"/>
  <c r="L38" i="4"/>
  <c r="L39" i="4" a="1"/>
  <c r="L39" i="4" s="1"/>
  <c r="L40" i="4" a="1"/>
  <c r="L40" i="4" s="1"/>
  <c r="L41" i="4" a="1"/>
  <c r="L41" i="4"/>
  <c r="M22" i="4" a="1"/>
  <c r="M22" i="4"/>
  <c r="M23" i="4" a="1"/>
  <c r="M23" i="4" s="1"/>
  <c r="M24" i="4" a="1"/>
  <c r="M24" i="4"/>
  <c r="M25" i="4" a="1"/>
  <c r="M25" i="4"/>
  <c r="M26" i="4" a="1"/>
  <c r="M26" i="4"/>
  <c r="M27" i="4" a="1"/>
  <c r="M27" i="4" s="1"/>
  <c r="M28" i="4" a="1"/>
  <c r="M28" i="4"/>
  <c r="M29" i="4" a="1"/>
  <c r="M29" i="4" s="1"/>
  <c r="M30" i="4" a="1"/>
  <c r="M30" i="4"/>
  <c r="M31" i="4" a="1"/>
  <c r="M31" i="4" s="1"/>
  <c r="M32" i="4" a="1"/>
  <c r="M32" i="4"/>
  <c r="M33" i="4" a="1"/>
  <c r="M33" i="4"/>
  <c r="M34" i="4" a="1"/>
  <c r="M34" i="4"/>
  <c r="M35" i="4" a="1"/>
  <c r="M35" i="4" s="1"/>
  <c r="M36" i="4" a="1"/>
  <c r="M36" i="4"/>
  <c r="M37" i="4" a="1"/>
  <c r="M37" i="4"/>
  <c r="M38" i="4" a="1"/>
  <c r="M38" i="4" s="1"/>
  <c r="M39" i="4" a="1"/>
  <c r="M39" i="4" s="1"/>
  <c r="M40" i="4" a="1"/>
  <c r="M40" i="4" s="1"/>
  <c r="M41" i="4" a="1"/>
  <c r="M41" i="4"/>
  <c r="N22" i="4" a="1"/>
  <c r="N22" i="4" s="1"/>
  <c r="N23" i="4" a="1"/>
  <c r="N23" i="4"/>
  <c r="N24" i="4" a="1"/>
  <c r="N24" i="4" s="1"/>
  <c r="N25" i="4" a="1"/>
  <c r="N25" i="4"/>
  <c r="N26" i="4" a="1"/>
  <c r="N26" i="4" s="1"/>
  <c r="N27" i="4" a="1"/>
  <c r="N27" i="4" s="1"/>
  <c r="N28" i="4" a="1"/>
  <c r="N28" i="4"/>
  <c r="N29" i="4" a="1"/>
  <c r="N29" i="4" s="1"/>
  <c r="N30" i="4" a="1"/>
  <c r="N30" i="4" s="1"/>
  <c r="N31" i="4" a="1"/>
  <c r="N31" i="4"/>
  <c r="N32" i="4" a="1"/>
  <c r="N32" i="4"/>
  <c r="N33" i="4" a="1"/>
  <c r="N33" i="4" s="1"/>
  <c r="N34" i="4" a="1"/>
  <c r="N34" i="4" s="1"/>
  <c r="N35" i="4" a="1"/>
  <c r="N35" i="4"/>
  <c r="N36" i="4" a="1"/>
  <c r="N36" i="4" s="1"/>
  <c r="N37" i="4" a="1"/>
  <c r="N37" i="4"/>
  <c r="N38" i="4" a="1"/>
  <c r="N38" i="4" s="1"/>
  <c r="N39" i="4" a="1"/>
  <c r="N39" i="4"/>
  <c r="N40" i="4" a="1"/>
  <c r="N40" i="4"/>
  <c r="N41" i="4" a="1"/>
  <c r="N4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N2" i="4" a="1"/>
  <c r="N2" i="4" s="1"/>
  <c r="N3" i="4" a="1"/>
  <c r="N3" i="4" s="1"/>
  <c r="N4" i="4" a="1"/>
  <c r="N4" i="4"/>
  <c r="N5" i="4" a="1"/>
  <c r="N5" i="4" s="1"/>
  <c r="N6" i="4" a="1"/>
  <c r="N6" i="4" s="1"/>
  <c r="N7" i="4" a="1"/>
  <c r="N7" i="4" s="1"/>
  <c r="N8" i="4" a="1"/>
  <c r="N8" i="4" s="1"/>
  <c r="N9" i="4" a="1"/>
  <c r="N9" i="4" s="1"/>
  <c r="N10" i="4" a="1"/>
  <c r="N10" i="4" s="1"/>
  <c r="N11" i="4" a="1"/>
  <c r="N11" i="4" s="1"/>
  <c r="N12" i="4" a="1"/>
  <c r="N12" i="4" s="1"/>
  <c r="N13" i="4" a="1"/>
  <c r="N13" i="4" s="1"/>
  <c r="N14" i="4" a="1"/>
  <c r="N14" i="4" s="1"/>
  <c r="N15" i="4" a="1"/>
  <c r="N15" i="4" s="1"/>
  <c r="N16" i="4" a="1"/>
  <c r="N16" i="4" s="1"/>
  <c r="N17" i="4" a="1"/>
  <c r="N17" i="4" s="1"/>
  <c r="N18" i="4" a="1"/>
  <c r="N18" i="4" s="1"/>
  <c r="N19" i="4" a="1"/>
  <c r="N19" i="4" s="1"/>
  <c r="N20" i="4" a="1"/>
  <c r="N20" i="4" s="1"/>
  <c r="N21" i="4" a="1"/>
  <c r="N21" i="4" s="1"/>
  <c r="M2" i="4" a="1"/>
  <c r="M2" i="4" s="1"/>
  <c r="M3" i="4" a="1"/>
  <c r="M3" i="4"/>
  <c r="M4" i="4" a="1"/>
  <c r="M4" i="4" s="1"/>
  <c r="M5" i="4" a="1"/>
  <c r="M5" i="4" s="1"/>
  <c r="M6" i="4" a="1"/>
  <c r="M6" i="4" s="1"/>
  <c r="M7" i="4" a="1"/>
  <c r="M7" i="4" s="1"/>
  <c r="M8" i="4" a="1"/>
  <c r="M8" i="4" s="1"/>
  <c r="M9" i="4" a="1"/>
  <c r="M9" i="4" s="1"/>
  <c r="M10" i="4" a="1"/>
  <c r="M10" i="4" s="1"/>
  <c r="M11" i="4" a="1"/>
  <c r="M11" i="4" s="1"/>
  <c r="M12" i="4" a="1"/>
  <c r="M12" i="4" s="1"/>
  <c r="M13" i="4" a="1"/>
  <c r="M13" i="4" s="1"/>
  <c r="M14" i="4" a="1"/>
  <c r="M14" i="4" s="1"/>
  <c r="M15" i="4" a="1"/>
  <c r="M15" i="4" s="1"/>
  <c r="M16" i="4" a="1"/>
  <c r="M16" i="4"/>
  <c r="M17" i="4" a="1"/>
  <c r="M17" i="4" s="1"/>
  <c r="M18" i="4" a="1"/>
  <c r="M18" i="4" s="1"/>
  <c r="M19" i="4" a="1"/>
  <c r="M19" i="4" s="1"/>
  <c r="M20" i="4" a="1"/>
  <c r="M20" i="4" s="1"/>
  <c r="M21" i="4" a="1"/>
  <c r="M21" i="4"/>
  <c r="L2" i="4" a="1"/>
  <c r="L2" i="4" s="1"/>
  <c r="L3" i="4" a="1"/>
  <c r="L3" i="4" s="1"/>
  <c r="L4" i="4" a="1"/>
  <c r="L4" i="4" s="1"/>
  <c r="F4" i="4" s="1"/>
  <c r="L5" i="4" a="1"/>
  <c r="L5" i="4" s="1"/>
  <c r="L6" i="4" a="1"/>
  <c r="L6" i="4" s="1"/>
  <c r="F6" i="4" s="1"/>
  <c r="L7" i="4" a="1"/>
  <c r="L7" i="4" s="1"/>
  <c r="L8" i="4" a="1"/>
  <c r="L8" i="4" s="1"/>
  <c r="L9" i="4" a="1"/>
  <c r="L9" i="4" s="1"/>
  <c r="F9" i="4" s="1"/>
  <c r="L10" i="4" a="1"/>
  <c r="L10" i="4" s="1"/>
  <c r="L11" i="4" a="1"/>
  <c r="L11" i="4"/>
  <c r="L12" i="4" a="1"/>
  <c r="L12" i="4" s="1"/>
  <c r="L13" i="4" a="1"/>
  <c r="L13" i="4" s="1"/>
  <c r="L14" i="4" a="1"/>
  <c r="L14" i="4"/>
  <c r="F14" i="4" s="1"/>
  <c r="L15" i="4" a="1"/>
  <c r="L15" i="4" s="1"/>
  <c r="L16" i="4" a="1"/>
  <c r="L16" i="4" s="1"/>
  <c r="F16" i="4" s="1"/>
  <c r="L17" i="4" a="1"/>
  <c r="L17" i="4" s="1"/>
  <c r="L18" i="4" a="1"/>
  <c r="L18" i="4" s="1"/>
  <c r="F18" i="4" s="1"/>
  <c r="L19" i="4" a="1"/>
  <c r="L19" i="4" s="1"/>
  <c r="F19" i="4" s="1"/>
  <c r="L20" i="4" a="1"/>
  <c r="L20" i="4" s="1"/>
  <c r="L21" i="4" a="1"/>
  <c r="L21" i="4" s="1"/>
  <c r="K2" i="4" a="1"/>
  <c r="K2" i="4" s="1"/>
  <c r="K3" i="4" a="1"/>
  <c r="K3" i="4"/>
  <c r="K4" i="4" a="1"/>
  <c r="K4" i="4" s="1"/>
  <c r="K5" i="4" a="1"/>
  <c r="K5" i="4" s="1"/>
  <c r="K6" i="4" a="1"/>
  <c r="K6" i="4" s="1"/>
  <c r="K7" i="4" a="1"/>
  <c r="K7" i="4" s="1"/>
  <c r="K8" i="4" a="1"/>
  <c r="K8" i="4" s="1"/>
  <c r="K9" i="4" a="1"/>
  <c r="K9" i="4" s="1"/>
  <c r="K10" i="4" a="1"/>
  <c r="K10" i="4" s="1"/>
  <c r="K11" i="4" a="1"/>
  <c r="K11" i="4" s="1"/>
  <c r="K12" i="4" a="1"/>
  <c r="K12" i="4" s="1"/>
  <c r="K13" i="4" a="1"/>
  <c r="K13" i="4"/>
  <c r="K14" i="4" a="1"/>
  <c r="K14" i="4" s="1"/>
  <c r="K15" i="4" a="1"/>
  <c r="K15" i="4" s="1"/>
  <c r="K16" i="4" a="1"/>
  <c r="K16" i="4" s="1"/>
  <c r="K17" i="4" a="1"/>
  <c r="K17" i="4" s="1"/>
  <c r="K18" i="4" a="1"/>
  <c r="K18" i="4" s="1"/>
  <c r="K19" i="4" a="1"/>
  <c r="K19" i="4" s="1"/>
  <c r="K20" i="4" a="1"/>
  <c r="K20" i="4" s="1"/>
  <c r="K21" i="4" a="1"/>
  <c r="K21" i="4" s="1"/>
  <c r="J2" i="4" a="1"/>
  <c r="J2" i="4" s="1"/>
  <c r="J3" i="4" a="1"/>
  <c r="J3" i="4" s="1"/>
  <c r="J4" i="4" a="1"/>
  <c r="J4" i="4" s="1"/>
  <c r="J5" i="4" a="1"/>
  <c r="J5" i="4" s="1"/>
  <c r="J6" i="4" a="1"/>
  <c r="J6" i="4" s="1"/>
  <c r="J7" i="4" a="1"/>
  <c r="J7" i="4" s="1"/>
  <c r="J8" i="4" a="1"/>
  <c r="J8" i="4" s="1"/>
  <c r="J9" i="4" a="1"/>
  <c r="J9" i="4" s="1"/>
  <c r="J10" i="4" a="1"/>
  <c r="J10" i="4" s="1"/>
  <c r="J11" i="4" a="1"/>
  <c r="J11" i="4"/>
  <c r="J12" i="4" a="1"/>
  <c r="J12" i="4" s="1"/>
  <c r="J13" i="4" a="1"/>
  <c r="J13" i="4"/>
  <c r="J14" i="4" a="1"/>
  <c r="J14" i="4"/>
  <c r="J15" i="4" a="1"/>
  <c r="J15" i="4" s="1"/>
  <c r="J16" i="4" a="1"/>
  <c r="J16" i="4"/>
  <c r="J17" i="4" a="1"/>
  <c r="J17" i="4" s="1"/>
  <c r="J18" i="4" a="1"/>
  <c r="J18" i="4" s="1"/>
  <c r="J19" i="4" a="1"/>
  <c r="J19" i="4" s="1"/>
  <c r="J20" i="4" a="1"/>
  <c r="J20" i="4" s="1"/>
  <c r="J21" i="4" a="1"/>
  <c r="J21" i="4"/>
  <c r="I2" i="4" a="1"/>
  <c r="I2" i="4" s="1"/>
  <c r="I3" i="4" a="1"/>
  <c r="I3" i="4" s="1"/>
  <c r="I4" i="4" a="1"/>
  <c r="I4" i="4" s="1"/>
  <c r="I5" i="4" a="1"/>
  <c r="I5" i="4"/>
  <c r="I6" i="4" a="1"/>
  <c r="I6" i="4"/>
  <c r="I7" i="4" a="1"/>
  <c r="I7" i="4" s="1"/>
  <c r="I8" i="4" a="1"/>
  <c r="I8" i="4" s="1"/>
  <c r="I9" i="4" a="1"/>
  <c r="I9" i="4" s="1"/>
  <c r="I10" i="4" a="1"/>
  <c r="I10" i="4" s="1"/>
  <c r="I11" i="4" a="1"/>
  <c r="I11" i="4" s="1"/>
  <c r="I12" i="4" a="1"/>
  <c r="I12" i="4" s="1"/>
  <c r="I13" i="4" a="1"/>
  <c r="I13" i="4" s="1"/>
  <c r="I14" i="4" a="1"/>
  <c r="I14" i="4" s="1"/>
  <c r="I15" i="4" a="1"/>
  <c r="I15" i="4"/>
  <c r="I16" i="4" a="1"/>
  <c r="I16" i="4" s="1"/>
  <c r="I17" i="4" a="1"/>
  <c r="I17" i="4" s="1"/>
  <c r="I18" i="4" a="1"/>
  <c r="I18" i="4"/>
  <c r="I19" i="4" a="1"/>
  <c r="I19" i="4"/>
  <c r="I20" i="4" a="1"/>
  <c r="I20" i="4" s="1"/>
  <c r="I21" i="4" a="1"/>
  <c r="I21" i="4" s="1"/>
  <c r="G2" i="4" a="1"/>
  <c r="G2" i="4" s="1"/>
  <c r="G3" i="4" a="1"/>
  <c r="G3" i="4" s="1"/>
  <c r="G4" i="4" a="1"/>
  <c r="G4" i="4" s="1"/>
  <c r="G5" i="4" a="1"/>
  <c r="G5" i="4" s="1"/>
  <c r="G6" i="4" a="1"/>
  <c r="G6" i="4" s="1"/>
  <c r="G7" i="4" a="1"/>
  <c r="G7" i="4" s="1"/>
  <c r="G8" i="4" a="1"/>
  <c r="G8" i="4" s="1"/>
  <c r="G9" i="4" a="1"/>
  <c r="G9" i="4" s="1"/>
  <c r="G10" i="4" a="1"/>
  <c r="G10" i="4" s="1"/>
  <c r="G11" i="4" a="1"/>
  <c r="G11" i="4" s="1"/>
  <c r="G12" i="4" a="1"/>
  <c r="G12" i="4" s="1"/>
  <c r="G13" i="4" a="1"/>
  <c r="G13" i="4" s="1"/>
  <c r="G14" i="4" a="1"/>
  <c r="G14" i="4" s="1"/>
  <c r="G15" i="4" a="1"/>
  <c r="G15" i="4" s="1"/>
  <c r="G16" i="4" a="1"/>
  <c r="G16" i="4" s="1"/>
  <c r="G17" i="4" a="1"/>
  <c r="G17" i="4" s="1"/>
  <c r="G18" i="4" a="1"/>
  <c r="G18" i="4" s="1"/>
  <c r="G19" i="4" a="1"/>
  <c r="G19" i="4" s="1"/>
  <c r="G20" i="4" a="1"/>
  <c r="G20" i="4" s="1"/>
  <c r="G21" i="4" a="1"/>
  <c r="G21" i="4" s="1"/>
  <c r="H2" i="4" a="1"/>
  <c r="H2" i="4" s="1"/>
  <c r="H3" i="4" a="1"/>
  <c r="H3" i="4"/>
  <c r="H4" i="4" a="1"/>
  <c r="H4" i="4"/>
  <c r="H5" i="4" a="1"/>
  <c r="H5" i="4" s="1"/>
  <c r="H6" i="4" a="1"/>
  <c r="H6" i="4" s="1"/>
  <c r="H7" i="4" a="1"/>
  <c r="H7" i="4" s="1"/>
  <c r="H8" i="4" a="1"/>
  <c r="H8" i="4"/>
  <c r="H9" i="4" a="1"/>
  <c r="H9" i="4"/>
  <c r="H10" i="4" a="1"/>
  <c r="H10" i="4" s="1"/>
  <c r="H11" i="4" a="1"/>
  <c r="H11" i="4" s="1"/>
  <c r="H12" i="4" a="1"/>
  <c r="H12" i="4" s="1"/>
  <c r="H13" i="4" a="1"/>
  <c r="H13" i="4"/>
  <c r="H14" i="4" a="1"/>
  <c r="H14" i="4" s="1"/>
  <c r="H15" i="4" a="1"/>
  <c r="H15" i="4" s="1"/>
  <c r="H16" i="4" a="1"/>
  <c r="H16" i="4" s="1"/>
  <c r="H17" i="4" a="1"/>
  <c r="H17" i="4" s="1"/>
  <c r="H18" i="4" a="1"/>
  <c r="H18" i="4" s="1"/>
  <c r="H19" i="4" a="1"/>
  <c r="H19" i="4" s="1"/>
  <c r="H20" i="4" a="1"/>
  <c r="H20" i="4" s="1"/>
  <c r="H21" i="4" a="1"/>
  <c r="H21" i="4" s="1"/>
  <c r="D39" i="4" l="1"/>
  <c r="E39" i="4" s="1"/>
  <c r="F39" i="4"/>
  <c r="F27" i="4"/>
  <c r="D23" i="4"/>
  <c r="E23" i="4" s="1"/>
  <c r="D32" i="4"/>
  <c r="E32" i="4" s="1"/>
  <c r="F37" i="4"/>
  <c r="F28" i="4"/>
  <c r="F36" i="4"/>
  <c r="F35" i="4"/>
  <c r="F24" i="4"/>
  <c r="D31" i="4"/>
  <c r="E31" i="4" s="1"/>
  <c r="F40" i="4"/>
  <c r="F32" i="4"/>
  <c r="D40" i="4"/>
  <c r="E40" i="4" s="1"/>
  <c r="F31" i="4"/>
  <c r="F33" i="4"/>
  <c r="D33" i="4"/>
  <c r="E33" i="4" s="1"/>
  <c r="D34" i="4"/>
  <c r="E34" i="4" s="1"/>
  <c r="D41" i="4"/>
  <c r="E41" i="4" s="1"/>
  <c r="F41" i="4"/>
  <c r="D22" i="4"/>
  <c r="E22" i="4" s="1"/>
  <c r="D28" i="4"/>
  <c r="E28" i="4" s="1"/>
  <c r="D27" i="4"/>
  <c r="E27" i="4" s="1"/>
  <c r="D30" i="4"/>
  <c r="E30" i="4" s="1"/>
  <c r="D36" i="4"/>
  <c r="E36" i="4" s="1"/>
  <c r="D38" i="4"/>
  <c r="E38" i="4" s="1"/>
  <c r="D29" i="4"/>
  <c r="E29" i="4" s="1"/>
  <c r="D37" i="4"/>
  <c r="E37" i="4" s="1"/>
  <c r="F22" i="4"/>
  <c r="F30" i="4"/>
  <c r="D25" i="4"/>
  <c r="E25" i="4" s="1"/>
  <c r="F25" i="4"/>
  <c r="D26" i="4"/>
  <c r="E26" i="4" s="1"/>
  <c r="F38" i="4"/>
  <c r="F29" i="4"/>
  <c r="D24" i="4"/>
  <c r="E24" i="4" s="1"/>
  <c r="D35" i="4"/>
  <c r="E35" i="4" s="1"/>
  <c r="D14" i="4"/>
  <c r="E14" i="4" s="1"/>
  <c r="D13" i="4"/>
  <c r="E13" i="4" s="1"/>
  <c r="F2" i="4"/>
  <c r="D20" i="4"/>
  <c r="E20" i="4" s="1"/>
  <c r="D19" i="4"/>
  <c r="E19" i="4" s="1"/>
  <c r="F7" i="4"/>
  <c r="D12" i="4"/>
  <c r="E12" i="4" s="1"/>
  <c r="D9" i="4"/>
  <c r="E9" i="4" s="1"/>
  <c r="F17" i="4"/>
  <c r="D17" i="4"/>
  <c r="E17" i="4" s="1"/>
  <c r="F21" i="4"/>
  <c r="D16" i="4"/>
  <c r="E16" i="4" s="1"/>
  <c r="F20" i="4"/>
  <c r="D4" i="4"/>
  <c r="E4" i="4" s="1"/>
  <c r="D18" i="4"/>
  <c r="E18" i="4" s="1"/>
  <c r="F8" i="4"/>
  <c r="D8" i="4"/>
  <c r="E8" i="4" s="1"/>
  <c r="F3" i="4"/>
  <c r="D3" i="4"/>
  <c r="E3" i="4" s="1"/>
  <c r="D11" i="4"/>
  <c r="E11" i="4" s="1"/>
  <c r="D6" i="4"/>
  <c r="E6" i="4" s="1"/>
  <c r="D10" i="4"/>
  <c r="E10" i="4" s="1"/>
  <c r="F5" i="4"/>
  <c r="D5" i="4"/>
  <c r="E5" i="4" s="1"/>
  <c r="D15" i="4"/>
  <c r="E15" i="4" s="1"/>
  <c r="F15" i="4"/>
  <c r="D7" i="4"/>
  <c r="E7" i="4" s="1"/>
  <c r="D2" i="4"/>
  <c r="E2" i="4" s="1"/>
  <c r="D21" i="4"/>
  <c r="E21" i="4" s="1"/>
  <c r="F13" i="4"/>
  <c r="F12" i="4"/>
  <c r="F11" i="4"/>
  <c r="F10" i="4"/>
</calcChain>
</file>

<file path=xl/metadata.xml><?xml version="1.0" encoding="utf-8"?>
<metadata xmlns="http://purl.oclc.org/ooxml/spreadsheetml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<sst xmlns="http://purl.oclc.org/ooxml/spreadsheetml/main" count="89" uniqueCount="63">
  <si>
    <t>EmployeeID</t>
  </si>
  <si>
    <t>DepartmentID</t>
  </si>
  <si>
    <t>Role</t>
  </si>
  <si>
    <t>HireDate</t>
  </si>
  <si>
    <t>WorkModeID</t>
  </si>
  <si>
    <t>ID</t>
  </si>
  <si>
    <t>Date</t>
  </si>
  <si>
    <t>WorkHours</t>
  </si>
  <si>
    <t>Overtime</t>
  </si>
  <si>
    <t>MeetingsCount</t>
  </si>
  <si>
    <t>MeetingHours</t>
  </si>
  <si>
    <t>TasksCompleted</t>
  </si>
  <si>
    <t>TasksPending</t>
  </si>
  <si>
    <t>FocusHours</t>
  </si>
  <si>
    <t>SleepHours</t>
  </si>
  <si>
    <t>StressLevel</t>
  </si>
  <si>
    <t>EnergyLevel</t>
  </si>
  <si>
    <t>MoodScore</t>
  </si>
  <si>
    <t>BreaksTaken</t>
  </si>
  <si>
    <t>BurnoutScore</t>
  </si>
  <si>
    <t>RiskID</t>
  </si>
  <si>
    <t>MainRiskFactor</t>
  </si>
  <si>
    <t>Type</t>
  </si>
  <si>
    <t>MinScore</t>
  </si>
  <si>
    <t>MaxScore</t>
  </si>
  <si>
    <t>Action</t>
  </si>
  <si>
    <t>Name</t>
  </si>
  <si>
    <t>ManagerID</t>
  </si>
  <si>
    <t>Adjustment</t>
  </si>
  <si>
    <t>Hybrid</t>
  </si>
  <si>
    <t>Remote</t>
  </si>
  <si>
    <t>Low</t>
  </si>
  <si>
    <t>Medium</t>
  </si>
  <si>
    <t>High</t>
  </si>
  <si>
    <t>Critical</t>
  </si>
  <si>
    <t>Maintain current productivity and wellbeing balance</t>
  </si>
  <si>
    <t>Monitor workload and optimize recovery practices</t>
  </si>
  <si>
    <t>Reduce operational pressure and improve workload distribution</t>
  </si>
  <si>
    <t>Immediate intervention and workload reassessment required</t>
  </si>
  <si>
    <t>Data Analytics</t>
  </si>
  <si>
    <t>IT Support</t>
  </si>
  <si>
    <t>Sales</t>
  </si>
  <si>
    <t>Marketing</t>
  </si>
  <si>
    <t>Finance</t>
  </si>
  <si>
    <t>HR</t>
  </si>
  <si>
    <t>Operations</t>
  </si>
  <si>
    <t>Customer Success</t>
  </si>
  <si>
    <t>Office</t>
  </si>
  <si>
    <t>BI Analyst</t>
  </si>
  <si>
    <t>Junior</t>
  </si>
  <si>
    <t>Support Engineer</t>
  </si>
  <si>
    <t>Mid</t>
  </si>
  <si>
    <t>Sales Specialist</t>
  </si>
  <si>
    <t>Marketing Analyst</t>
  </si>
  <si>
    <t>Financial Analyst</t>
  </si>
  <si>
    <t>Senior</t>
  </si>
  <si>
    <t>HR Coordinator</t>
  </si>
  <si>
    <t>Operations Specialist</t>
  </si>
  <si>
    <t>Client Success Agent</t>
  </si>
  <si>
    <t>Data Analyst</t>
  </si>
  <si>
    <t>Account Executive</t>
  </si>
  <si>
    <t>OvertimeHours</t>
  </si>
  <si>
    <t>SeniorityLevel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</si>
</sst>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;@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2" fontId="0" fillId="0" borderId="0" xfId="0" applyNumberFormat="1"/>
    <xf numFmtId="49" fontId="0" fillId="0" borderId="0" xfId="0" applyNumberFormat="1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164" fontId="0" fillId="0" borderId="0" xfId="0" applyNumberFormat="1" applyAlignment="1">
      <alignment vertical="center" wrapText="1"/>
    </xf>
    <xf numFmtId="1" fontId="0" fillId="0" borderId="0" xfId="0" applyNumberFormat="1" applyAlignment="1">
      <alignment vertical="center" wrapText="1"/>
    </xf>
    <xf numFmtId="49" fontId="0" fillId="0" borderId="0" xfId="0" applyNumberFormat="1" applyAlignment="1">
      <alignment vertical="center" wrapText="1"/>
    </xf>
    <xf numFmtId="165" fontId="0" fillId="0" borderId="0" xfId="0" applyNumberFormat="1"/>
    <xf numFmtId="165" fontId="0" fillId="0" borderId="0" xfId="0" applyNumberFormat="1" applyAlignment="1">
      <alignment vertical="center" wrapText="1"/>
    </xf>
  </cellXfs>
  <cellStyles count="1">
    <cellStyle name="Normal" xfId="0" builtinId="0"/>
  </cellStyles>
  <dxfs count="57">
    <dxf>
      <numFmt numFmtId="1" formatCode="0"/>
    </dxf>
    <dxf>
      <numFmt numFmtId="30" formatCode="@"/>
    </dxf>
    <dxf>
      <numFmt numFmtId="1" formatCode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" formatCode="0"/>
    </dxf>
    <dxf>
      <numFmt numFmtId="1" formatCode="0"/>
    </dxf>
    <dxf>
      <numFmt numFmtId="30" formatCode="@"/>
    </dxf>
    <dxf>
      <numFmt numFmtId="1" formatCode="0"/>
    </dxf>
    <dxf>
      <numFmt numFmtId="1" formatCode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5" formatCode="yyyy\-mm\-dd;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" formatCode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5" formatCode="yyyy\-mm\-dd;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" formatCode="0"/>
    </dxf>
    <dxf>
      <numFmt numFmtId="165" formatCode="yyyy\-mm\-dd;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" formatCode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0.0"/>
      <alignment horizontal="general" vertical="center" textRotation="0" wrapText="1" indent="0" justifyLastLine="0" shrinkToFit="0" readingOrder="0"/>
    </dxf>
    <dxf>
      <numFmt numFmtId="165" formatCode="yyyy\-mm\-dd;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theme" Target="theme/theme1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purl.oclc.org/ooxml/officeDocument/relationships/calcChain" Target="calcChain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sheetMetadata" Target="metadata.xml"/><Relationship Id="rId5" Type="http://purl.oclc.org/ooxml/officeDocument/relationships/worksheet" Target="worksheets/sheet5.xml"/><Relationship Id="rId10" Type="http://purl.oclc.org/ooxml/officeDocument/relationships/sharedStrings" Target="sharedStrings.xml"/><Relationship Id="rId4" Type="http://purl.oclc.org/ooxml/officeDocument/relationships/worksheet" Target="worksheets/sheet4.xml"/><Relationship Id="rId9" Type="http://purl.oclc.org/ooxml/officeDocument/relationships/styles" Target="styles.xml"/></Relationships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7" xr:uid="{16717B02-FACD-4ECD-A883-A6ADD73ED4F3}" name="Employees" displayName="Employees" ref="A1:F11" totalsRowShown="0" headerRowDxfId="40">
  <autoFilter ref="A1:F11" xr:uid="{16717B02-FACD-4ECD-A883-A6ADD73ED4F3}"/>
  <tableColumns count="6">
    <tableColumn id="1" xr3:uid="{6757AF0D-3F39-4263-AA34-F8761210CEFD}" name="EmployeeID" dataDxfId="39"/>
    <tableColumn id="2" xr3:uid="{7795CC61-6901-42C5-B0E1-3EB1EFC80AAA}" name="DepartmentID" dataDxfId="38"/>
    <tableColumn id="3" xr3:uid="{9AA0998A-BBC5-4D1C-94D1-24F28A07C9AD}" name="WorkModeID" dataDxfId="37"/>
    <tableColumn id="4" xr3:uid="{443C7C5D-D3AC-490A-8FF2-D2890F6A83EB}" name="Role" dataDxfId="36"/>
    <tableColumn id="5" xr3:uid="{A3D2ED24-892E-4AAB-9E18-13CE7548F68F}" name="SeniorityLevel" dataDxfId="35"/>
    <tableColumn id="6" xr3:uid="{EED2E5F6-4A14-441F-A3BA-63A314673BF0}" name="HireDate" dataDxfId="34"/>
  </tableColumns>
  <tableStyleInfo showFirstColumn="0" showLastColumn="0" showRowStripes="1" showColumnStripes="0"/>
</table>
</file>

<file path=xl/tables/table2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6" xr:uid="{9062B494-5D08-455E-A1BB-4A127805F95E}" name="DailyWorkMetrics" displayName="DailyWorkMetrics" ref="A1:J41" totalsRowShown="0" headerRowDxfId="33" dataDxfId="32">
  <autoFilter ref="A1:J41" xr:uid="{9062B494-5D08-455E-A1BB-4A127805F95E}"/>
  <tableColumns count="10">
    <tableColumn id="1" xr3:uid="{54B57D28-7A6C-4B29-913E-8020F0B2FA72}" name="ID" dataDxfId="31"/>
    <tableColumn id="2" xr3:uid="{8FC273AA-E612-45CB-A788-CC721A83991A}" name="EmployeeID" dataDxfId="30"/>
    <tableColumn id="3" xr3:uid="{8E06D78E-87A5-4EEE-8332-4E1BDE4FFF44}" name="Date" dataDxfId="29"/>
    <tableColumn id="4" xr3:uid="{427D28E9-E4D1-4B1A-A102-ED58BA27596F}" name="WorkHours" dataDxfId="28"/>
    <tableColumn id="5" xr3:uid="{76D50811-E083-4FD1-848E-EE8224D35B4F}" name="Overtime" dataDxfId="27"/>
    <tableColumn id="6" xr3:uid="{A1D25524-F938-439C-BB2F-2596E42F0355}" name="MeetingsCount" dataDxfId="26"/>
    <tableColumn id="7" xr3:uid="{53E6A57E-DDA5-44C2-B353-1EBE753CF9EB}" name="MeetingHours" dataDxfId="25"/>
    <tableColumn id="8" xr3:uid="{6E134495-2A85-4290-A164-964202B8C070}" name="FocusHours" dataDxfId="24"/>
    <tableColumn id="9" xr3:uid="{5E79DB1A-2D0C-431F-8AFC-944DC2DB0E69}" name="TasksCompleted" dataDxfId="23"/>
    <tableColumn id="10" xr3:uid="{B5D38969-602E-4AD0-A193-4AE80F3ADECF}" name="TasksPending" dataDxfId="22"/>
  </tableColumns>
  <tableStyleInfo showFirstColumn="0" showLastColumn="0" showRowStripes="1" showColumnStripes="0"/>
</table>
</file>

<file path=xl/tables/table3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5" xr:uid="{BDF7C530-5C29-4FF2-A018-F7136818D662}" name="WellbeingMetrics" displayName="WellbeingMetrics" ref="A1:H41" totalsRowShown="0" headerRowDxfId="21" dataDxfId="20">
  <autoFilter ref="A1:H41" xr:uid="{BDF7C530-5C29-4FF2-A018-F7136818D662}"/>
  <tableColumns count="8">
    <tableColumn id="1" xr3:uid="{134A7DC9-3AC1-4BD7-B2E9-CAD94A7D86A1}" name="ID" dataDxfId="19"/>
    <tableColumn id="2" xr3:uid="{FF24D730-2766-4B04-A298-85F3BB47BAF8}" name="EmployeeID" dataDxfId="18"/>
    <tableColumn id="3" xr3:uid="{9A38AF02-1F13-406A-8439-5E5566CD67CC}" name="Date" dataDxfId="17"/>
    <tableColumn id="4" xr3:uid="{246F1FE6-EBA2-46CE-BDA0-DC13C3A5EDCA}" name="SleepHours" dataDxfId="16"/>
    <tableColumn id="5" xr3:uid="{EABC74AC-D398-4528-BE66-FC33192019FB}" name="StressLevel" dataDxfId="15"/>
    <tableColumn id="6" xr3:uid="{BD7F00B6-F3C0-472C-91CB-198E3B4A5F05}" name="EnergyLevel" dataDxfId="14"/>
    <tableColumn id="7" xr3:uid="{81DD478C-224E-491C-B8D3-B3EA3850490F}" name="MoodScore" dataDxfId="13"/>
    <tableColumn id="8" xr3:uid="{76C12A7F-8ADA-4720-9607-2E033D92BF9C}" name="BreaksTaken" dataDxfId="12"/>
  </tableColumns>
  <tableStyleInfo showFirstColumn="0" showLastColumn="0" showRowStripes="1" showColumnStripes="0"/>
</table>
</file>

<file path=xl/tables/table4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4" xr:uid="{54B384B6-049A-496D-AE9B-EBB6D4FC24A3}" name="BurnoutScores" displayName="BurnoutScores" ref="A1:O41" totalsRowShown="0" dataDxfId="56">
  <autoFilter ref="A1:O41" xr:uid="{54B384B6-049A-496D-AE9B-EBB6D4FC24A3}"/>
  <tableColumns count="15">
    <tableColumn id="1" xr3:uid="{C7876F9A-2828-4AD4-A494-FF46D5977B87}" name="ID" dataDxfId="55"/>
    <tableColumn id="2" xr3:uid="{7C5E9B28-DD9C-4166-8A37-94DEF54F4336}" name="EmployeeID" dataDxfId="54"/>
    <tableColumn id="3" xr3:uid="{77C1A83E-9E79-484B-AF89-3F62ACF8AD93}" name="Date" dataDxfId="53"/>
    <tableColumn id="4" xr3:uid="{C994B102-F163-4506-9F0D-DBEBADCB4907}" name="BurnoutScore" dataDxfId="52">
      <calculatedColumnFormula>MIN(100,MAX(0,(G2*4)+(H2*2)+(L2*5)-(K2*3)-(M2*4)-(I2*2)-(N2*2)+(J2*2)+O2))</calculatedColumnFormula>
    </tableColumn>
    <tableColumn id="5" xr3:uid="{72C8752E-65B0-4063-9067-1DF41BFB12FF}" name="RiskID" dataDxfId="51">
      <calculatedColumnFormula>IF(D2&lt;=30,1,IF(D2&lt;=50,2,IF(D2&lt;=80,3,4)))</calculatedColumnFormula>
    </tableColumn>
    <tableColumn id="6" xr3:uid="{00C0BC32-9CEC-4317-B5E6-913F94DC3D87}" name="MainRiskFactor" dataDxfId="50">
      <calculatedColumnFormula>IF(L2&gt;=8,"High stress",IF(G2&gt;=3,"Overtime",IF(H2&gt;=8,"Meeting overload",IF(J2&gt;=8,"Task backlog",IF(K2&lt;5,"Low recovery","Balanced workload")))))</calculatedColumnFormula>
    </tableColumn>
    <tableColumn id="7" xr3:uid="{6CFCEE31-8EEB-4E50-9DB1-8A99DF45F83B}" name="OvertimeHours" dataDxfId="49">
      <calculatedColumnFormula array="1">_xlfn.XLOOKUP(BurnoutScores[[#This Row],[EmployeeID]]&amp;BurnoutScores[[#This Row],[Date]],DailyWorkMetrics[EmployeeID]&amp;DailyWorkMetrics[Date],DailyWorkMetrics[Overtime])</calculatedColumnFormula>
    </tableColumn>
    <tableColumn id="8" xr3:uid="{C9179876-333A-4AF7-ABCF-CD8DF3AE1D2A}" name="MeetingsCount" dataDxfId="48">
      <calculatedColumnFormula array="1">_xlfn.XLOOKUP(BurnoutScores[[#This Row],[EmployeeID]]&amp;BurnoutScores[[#This Row],[Date]],DailyWorkMetrics[EmployeeID]&amp;DailyWorkMetrics[Date],DailyWorkMetrics[MeetingsCount])</calculatedColumnFormula>
    </tableColumn>
    <tableColumn id="9" xr3:uid="{F7EE76B4-994C-4DEE-8F52-A3806D2B05A1}" name="FocusHours" dataDxfId="47">
      <calculatedColumnFormula array="1">_xlfn.XLOOKUP(BurnoutScores[[#This Row],[EmployeeID]]&amp;BurnoutScores[[#This Row],[Date]],DailyWorkMetrics[EmployeeID]&amp;DailyWorkMetrics[Date],DailyWorkMetrics[FocusHours])</calculatedColumnFormula>
    </tableColumn>
    <tableColumn id="15" xr3:uid="{7E163FDD-656C-401F-B897-A48685D11022}" name="TasksPending" dataDxfId="46">
      <calculatedColumnFormula array="1">_xlfn.XLOOKUP(BurnoutScores[[#This Row],[EmployeeID]]&amp;BurnoutScores[[#This Row],[Date]],DailyWorkMetrics[EmployeeID]&amp;DailyWorkMetrics[Date],DailyWorkMetrics[TasksPending])</calculatedColumnFormula>
    </tableColumn>
    <tableColumn id="10" xr3:uid="{BC7ADDD7-1BE4-4FB9-8C37-8312A2CE34EC}" name="SleepHours" dataDxfId="45">
      <calculatedColumnFormula array="1">_xlfn.XLOOKUP(BurnoutScores[[#This Row],[EmployeeID]]&amp;BurnoutScores[[#This Row],[Date]],WellbeingMetrics[EmployeeID]&amp;WellbeingMetrics[Date],WellbeingMetrics[SleepHours])</calculatedColumnFormula>
    </tableColumn>
    <tableColumn id="11" xr3:uid="{850C630E-3B7B-43B2-8866-75CA6297AF84}" name="StressLevel" dataDxfId="44">
      <calculatedColumnFormula array="1">_xlfn.XLOOKUP(BurnoutScores[[#This Row],[EmployeeID]]&amp;BurnoutScores[[#This Row],[Date]],WellbeingMetrics[EmployeeID]&amp;WellbeingMetrics[Date],WellbeingMetrics[StressLevel])</calculatedColumnFormula>
    </tableColumn>
    <tableColumn id="12" xr3:uid="{177CE69D-FD97-49C5-8640-9EA6CF9C8C6E}" name="EnergyLevel" dataDxfId="43">
      <calculatedColumnFormula array="1">_xlfn.XLOOKUP(BurnoutScores[[#This Row],[EmployeeID]]&amp;BurnoutScores[[#This Row],[Date]],WellbeingMetrics[EmployeeID]&amp;WellbeingMetrics[Date],WellbeingMetrics[EnergyLevel])</calculatedColumnFormula>
    </tableColumn>
    <tableColumn id="13" xr3:uid="{5991F107-6615-47BC-81F4-8C6E6433EA3C}" name="BreaksTaken" dataDxfId="42">
      <calculatedColumnFormula array="1">_xlfn.XLOOKUP(BurnoutScores[[#This Row],[EmployeeID]]&amp;BurnoutScores[[#This Row],[Date]],WellbeingMetrics[EmployeeID]&amp;WellbeingMetrics[Date],WellbeingMetrics[BreaksTaken])</calculatedColumnFormula>
    </tableColumn>
    <tableColumn id="14" xr3:uid="{E12142A8-5599-4808-BD0A-9334E4BA955C}" name="Adjustment" dataDxfId="41">
      <calculatedColumnFormula>_xlfn.XLOOKUP(_xlfn.XLOOKUP(BurnoutScores[[#This Row],[EmployeeID]],Employees[EmployeeID],Employees[WorkModeID]),WorkMode[ID],WorkMode[Adjustment])</calculatedColumnFormula>
    </tableColumn>
  </tableColumns>
  <tableStyleInfo showFirstColumn="0" showLastColumn="0" showRowStripes="1" showColumnStripes="0"/>
</table>
</file>

<file path=xl/tables/table5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3" xr:uid="{4F24DF53-3F14-4674-BF18-3EF157A4257F}" name="Risk" displayName="Risk" ref="A1:E5" totalsRowShown="0" headerRowDxfId="11">
  <autoFilter ref="A1:E5" xr:uid="{4F24DF53-3F14-4674-BF18-3EF157A4257F}"/>
  <tableColumns count="5">
    <tableColumn id="1" xr3:uid="{D9C54B47-51C7-4F70-8CD9-C81ECBF1D901}" name="ID" dataDxfId="10"/>
    <tableColumn id="2" xr3:uid="{0D53492C-8CAE-45A9-ABF4-E4A623BE7D04}" name="Type" dataDxfId="9"/>
    <tableColumn id="3" xr3:uid="{DC5D5C3F-DD5E-47C2-9E87-8AC4443385DF}" name="MinScore" dataDxfId="8"/>
    <tableColumn id="4" xr3:uid="{3892779D-6AE4-41B7-92E3-48062EB0D5B6}" name="MaxScore" dataDxfId="7"/>
    <tableColumn id="5" xr3:uid="{D8065E0B-3BB7-4153-AD84-050EB0B91C94}" name="Action"/>
  </tableColumns>
  <tableStyleInfo showFirstColumn="0" showLastColumn="0" showRowStripes="1" showColumnStripes="0"/>
</table>
</file>

<file path=xl/tables/table6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F8826CBD-2B7C-400A-B5F6-F2C6CC12B20E}" name="Departments" displayName="Departments" ref="A1:C9" totalsRowShown="0" dataDxfId="6">
  <autoFilter ref="A1:C9" xr:uid="{F8826CBD-2B7C-400A-B5F6-F2C6CC12B20E}"/>
  <tableColumns count="3">
    <tableColumn id="1" xr3:uid="{68F8982E-100F-4BE0-837B-D3D934C0ADDD}" name="ID" dataDxfId="5"/>
    <tableColumn id="2" xr3:uid="{C942068A-A7B2-44B5-BEF0-6C4A873A0E43}" name="Name" dataDxfId="4"/>
    <tableColumn id="3" xr3:uid="{3B45E8A2-7F73-44F1-B67C-ED31F83C129E}" name="ManagerID" dataDxfId="3"/>
  </tableColumns>
  <tableStyleInfo showFirstColumn="0" showLastColumn="0" showRowStripes="1" showColumnStripes="0"/>
</table>
</file>

<file path=xl/tables/table7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2" xr:uid="{6B39AB12-999F-4BFF-A0C5-33D3ECCFFB09}" name="WorkMode" displayName="WorkMode" ref="A1:C4" totalsRowShown="0">
  <autoFilter ref="A1:C4" xr:uid="{6B39AB12-999F-4BFF-A0C5-33D3ECCFFB09}"/>
  <tableColumns count="3">
    <tableColumn id="1" xr3:uid="{1F3E636D-91D2-4B25-A618-9295F7E1A353}" name="ID" dataDxfId="2"/>
    <tableColumn id="2" xr3:uid="{202357E1-EDCE-4E34-B1F2-86B4B7CA3815}" name="Type" dataDxfId="1"/>
    <tableColumn id="3" xr3:uid="{805468BC-467F-452B-B245-01B725605F5A}" name="Adjustment" dataDxfId="0"/>
  </tableColumns>
  <tableStyleInfo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table" Target="../tables/table1.xml"/><Relationship Id="rId1" Type="http://purl.oclc.org/ooxml/officeDocument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purl.oclc.org/ooxml/officeDocument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purl.oclc.org/ooxml/officeDocument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purl.oclc.org/ooxml/officeDocument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purl.oclc.org/ooxml/officeDocument/relationships/table" Target="../tables/table7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1764F-C179-49D9-9E1B-7C568A02C6F0}">
  <dimension ref="A1:F11"/>
  <sheetViews>
    <sheetView tabSelected="1" zoomScale="164" workbookViewId="0">
      <selection activeCell="E2" sqref="E2"/>
    </sheetView>
  </sheetViews>
  <sheetFormatPr defaultRowHeight="14.4" x14ac:dyDescent="0.3"/>
  <cols>
    <col min="1" max="1" width="11.88671875" style="4" customWidth="1"/>
    <col min="2" max="2" width="13.77734375" style="2" customWidth="1"/>
    <col min="3" max="3" width="12.6640625" style="4" customWidth="1"/>
    <col min="4" max="4" width="13.77734375" style="3" customWidth="1"/>
    <col min="5" max="5" width="15.33203125" bestFit="1" customWidth="1"/>
    <col min="6" max="6" width="10.33203125" style="11" bestFit="1" customWidth="1"/>
  </cols>
  <sheetData>
    <row r="1" spans="1:6" x14ac:dyDescent="0.3">
      <c r="A1" s="4" t="s">
        <v>0</v>
      </c>
      <c r="B1" s="4" t="s">
        <v>1</v>
      </c>
      <c r="C1" s="4" t="s">
        <v>4</v>
      </c>
      <c r="D1" s="2" t="s">
        <v>2</v>
      </c>
      <c r="E1" s="2" t="s">
        <v>62</v>
      </c>
      <c r="F1" s="11" t="s">
        <v>3</v>
      </c>
    </row>
    <row r="2" spans="1:6" x14ac:dyDescent="0.3">
      <c r="A2" s="7">
        <v>101</v>
      </c>
      <c r="B2" s="7">
        <v>1</v>
      </c>
      <c r="C2" s="7">
        <v>2</v>
      </c>
      <c r="D2" s="6" t="s">
        <v>48</v>
      </c>
      <c r="E2" s="6" t="s">
        <v>49</v>
      </c>
      <c r="F2" s="12" t="d">
        <v>2024-03-12</v>
      </c>
    </row>
    <row r="3" spans="1:6" ht="28.8" x14ac:dyDescent="0.3">
      <c r="A3" s="7">
        <v>102</v>
      </c>
      <c r="B3" s="7">
        <v>2</v>
      </c>
      <c r="C3" s="7">
        <v>3</v>
      </c>
      <c r="D3" s="6" t="s">
        <v>50</v>
      </c>
      <c r="E3" s="6" t="s">
        <v>51</v>
      </c>
      <c r="F3" s="12" t="d">
        <v>2022-09-05</v>
      </c>
    </row>
    <row r="4" spans="1:6" x14ac:dyDescent="0.3">
      <c r="A4" s="7">
        <v>103</v>
      </c>
      <c r="B4" s="7">
        <v>3</v>
      </c>
      <c r="C4" s="7">
        <v>1</v>
      </c>
      <c r="D4" s="6" t="s">
        <v>52</v>
      </c>
      <c r="E4" s="6" t="s">
        <v>49</v>
      </c>
      <c r="F4" s="12" t="d">
        <v>2023-11-20</v>
      </c>
    </row>
    <row r="5" spans="1:6" ht="28.8" x14ac:dyDescent="0.3">
      <c r="A5" s="7">
        <v>104</v>
      </c>
      <c r="B5" s="7">
        <v>4</v>
      </c>
      <c r="C5" s="7">
        <v>2</v>
      </c>
      <c r="D5" s="6" t="s">
        <v>53</v>
      </c>
      <c r="E5" s="6" t="s">
        <v>51</v>
      </c>
      <c r="F5" s="12" t="d">
        <v>2021-06-14</v>
      </c>
    </row>
    <row r="6" spans="1:6" ht="28.8" x14ac:dyDescent="0.3">
      <c r="A6" s="7">
        <v>105</v>
      </c>
      <c r="B6" s="7">
        <v>5</v>
      </c>
      <c r="C6" s="7">
        <v>1</v>
      </c>
      <c r="D6" s="6" t="s">
        <v>54</v>
      </c>
      <c r="E6" s="6" t="s">
        <v>55</v>
      </c>
      <c r="F6" s="12" t="d">
        <v>2020-02-03</v>
      </c>
    </row>
    <row r="7" spans="1:6" x14ac:dyDescent="0.3">
      <c r="A7" s="7">
        <v>106</v>
      </c>
      <c r="B7" s="7">
        <v>6</v>
      </c>
      <c r="C7" s="7">
        <v>3</v>
      </c>
      <c r="D7" s="6" t="s">
        <v>56</v>
      </c>
      <c r="E7" s="6" t="s">
        <v>49</v>
      </c>
      <c r="F7" s="12" t="d">
        <v>2024-01-22</v>
      </c>
    </row>
    <row r="8" spans="1:6" ht="28.8" x14ac:dyDescent="0.3">
      <c r="A8" s="7">
        <v>107</v>
      </c>
      <c r="B8" s="7">
        <v>7</v>
      </c>
      <c r="C8" s="7">
        <v>2</v>
      </c>
      <c r="D8" s="6" t="s">
        <v>57</v>
      </c>
      <c r="E8" s="6" t="s">
        <v>51</v>
      </c>
      <c r="F8" s="12" t="d">
        <v>2022-04-18</v>
      </c>
    </row>
    <row r="9" spans="1:6" ht="28.8" x14ac:dyDescent="0.3">
      <c r="A9" s="7">
        <v>108</v>
      </c>
      <c r="B9" s="7">
        <v>8</v>
      </c>
      <c r="C9" s="7">
        <v>1</v>
      </c>
      <c r="D9" s="6" t="s">
        <v>58</v>
      </c>
      <c r="E9" s="6" t="s">
        <v>49</v>
      </c>
      <c r="F9" s="12" t="d">
        <v>2023-08-30</v>
      </c>
    </row>
    <row r="10" spans="1:6" x14ac:dyDescent="0.3">
      <c r="A10" s="7">
        <v>109</v>
      </c>
      <c r="B10" s="7">
        <v>1</v>
      </c>
      <c r="C10" s="7">
        <v>3</v>
      </c>
      <c r="D10" s="6" t="s">
        <v>59</v>
      </c>
      <c r="E10" s="6" t="s">
        <v>49</v>
      </c>
      <c r="F10" s="12" t="d">
        <v>2024-05-06</v>
      </c>
    </row>
    <row r="11" spans="1:6" ht="28.8" x14ac:dyDescent="0.3">
      <c r="A11" s="7">
        <v>110</v>
      </c>
      <c r="B11" s="7">
        <v>3</v>
      </c>
      <c r="C11" s="7">
        <v>2</v>
      </c>
      <c r="D11" s="6" t="s">
        <v>60</v>
      </c>
      <c r="E11" s="6" t="s">
        <v>51</v>
      </c>
      <c r="F11" s="12" t="d">
        <v>2021-10-11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CFD09-228D-4605-A351-95646A5231B6}">
  <dimension ref="A1:J41"/>
  <sheetViews>
    <sheetView topLeftCell="B1" zoomScale="168" workbookViewId="0">
      <selection activeCell="C1" sqref="C1:C1048576"/>
    </sheetView>
  </sheetViews>
  <sheetFormatPr defaultRowHeight="14.4" x14ac:dyDescent="0.3"/>
  <cols>
    <col min="1" max="1" width="8.88671875" style="4"/>
    <col min="2" max="2" width="12" style="4" customWidth="1"/>
    <col min="3" max="3" width="10.44140625" style="11" bestFit="1" customWidth="1"/>
    <col min="4" max="4" width="11.21875" style="5" customWidth="1"/>
    <col min="5" max="5" width="9.5546875" style="5" customWidth="1"/>
    <col min="6" max="6" width="14.6640625" style="4" customWidth="1"/>
    <col min="7" max="7" width="13.5546875" style="5" customWidth="1"/>
    <col min="8" max="8" width="14.77734375" style="5" bestFit="1" customWidth="1"/>
    <col min="9" max="9" width="15.88671875" style="4" customWidth="1"/>
    <col min="10" max="10" width="13.33203125" style="4" customWidth="1"/>
  </cols>
  <sheetData>
    <row r="1" spans="1:10" x14ac:dyDescent="0.3">
      <c r="A1" s="4" t="s">
        <v>5</v>
      </c>
      <c r="B1" s="4" t="s">
        <v>0</v>
      </c>
      <c r="C1" s="11" t="s">
        <v>6</v>
      </c>
      <c r="D1" s="5" t="s">
        <v>7</v>
      </c>
      <c r="E1" s="5" t="s">
        <v>8</v>
      </c>
      <c r="F1" s="4" t="s">
        <v>9</v>
      </c>
      <c r="G1" s="5" t="s">
        <v>10</v>
      </c>
      <c r="H1" s="5" t="s">
        <v>13</v>
      </c>
      <c r="I1" s="4" t="s">
        <v>11</v>
      </c>
      <c r="J1" s="4" t="s">
        <v>12</v>
      </c>
    </row>
    <row r="2" spans="1:10" x14ac:dyDescent="0.3">
      <c r="A2" s="6">
        <v>1</v>
      </c>
      <c r="B2" s="6">
        <v>101</v>
      </c>
      <c r="C2" s="12" t="d">
        <v>2026-04-01</v>
      </c>
      <c r="D2" s="6">
        <v>8</v>
      </c>
      <c r="E2" s="6">
        <v>0</v>
      </c>
      <c r="F2" s="6">
        <v>3</v>
      </c>
      <c r="G2" s="6">
        <v>1.5</v>
      </c>
      <c r="H2" s="6">
        <v>4.5</v>
      </c>
      <c r="I2" s="6">
        <v>7</v>
      </c>
      <c r="J2" s="6">
        <v>2</v>
      </c>
    </row>
    <row r="3" spans="1:10" x14ac:dyDescent="0.3">
      <c r="A3" s="6">
        <v>2</v>
      </c>
      <c r="B3" s="6">
        <v>102</v>
      </c>
      <c r="C3" s="12" t="d">
        <v>2026-04-01</v>
      </c>
      <c r="D3" s="6">
        <v>7.5</v>
      </c>
      <c r="E3" s="6">
        <v>0</v>
      </c>
      <c r="F3" s="6">
        <v>2</v>
      </c>
      <c r="G3" s="6">
        <v>1</v>
      </c>
      <c r="H3" s="6">
        <v>5</v>
      </c>
      <c r="I3" s="6">
        <v>6</v>
      </c>
      <c r="J3" s="6">
        <v>1</v>
      </c>
    </row>
    <row r="4" spans="1:10" x14ac:dyDescent="0.3">
      <c r="A4" s="6">
        <v>3</v>
      </c>
      <c r="B4" s="6">
        <v>103</v>
      </c>
      <c r="C4" s="12" t="d">
        <v>2026-04-01</v>
      </c>
      <c r="D4" s="6">
        <v>11</v>
      </c>
      <c r="E4" s="6">
        <v>3</v>
      </c>
      <c r="F4" s="6">
        <v>9</v>
      </c>
      <c r="G4" s="6">
        <v>5</v>
      </c>
      <c r="H4" s="6">
        <v>1</v>
      </c>
      <c r="I4" s="6">
        <v>4</v>
      </c>
      <c r="J4" s="6">
        <v>10</v>
      </c>
    </row>
    <row r="5" spans="1:10" x14ac:dyDescent="0.3">
      <c r="A5" s="6">
        <v>4</v>
      </c>
      <c r="B5" s="6">
        <v>104</v>
      </c>
      <c r="C5" s="12" t="d">
        <v>2026-04-01</v>
      </c>
      <c r="D5" s="6">
        <v>8.5</v>
      </c>
      <c r="E5" s="6">
        <v>0.5</v>
      </c>
      <c r="F5" s="6">
        <v>5</v>
      </c>
      <c r="G5" s="6">
        <v>2.5</v>
      </c>
      <c r="H5" s="6">
        <v>3</v>
      </c>
      <c r="I5" s="6">
        <v>6</v>
      </c>
      <c r="J5" s="6">
        <v>4</v>
      </c>
    </row>
    <row r="6" spans="1:10" x14ac:dyDescent="0.3">
      <c r="A6" s="6">
        <v>5</v>
      </c>
      <c r="B6" s="6">
        <v>105</v>
      </c>
      <c r="C6" s="12" t="d">
        <v>2026-04-01</v>
      </c>
      <c r="D6" s="6">
        <v>10.5</v>
      </c>
      <c r="E6" s="6">
        <v>2.5</v>
      </c>
      <c r="F6" s="6">
        <v>8</v>
      </c>
      <c r="G6" s="6">
        <v>4.5</v>
      </c>
      <c r="H6" s="6">
        <v>1.5</v>
      </c>
      <c r="I6" s="6">
        <v>6</v>
      </c>
      <c r="J6" s="6">
        <v>9</v>
      </c>
    </row>
    <row r="7" spans="1:10" x14ac:dyDescent="0.3">
      <c r="A7" s="6">
        <v>6</v>
      </c>
      <c r="B7" s="6">
        <v>106</v>
      </c>
      <c r="C7" s="12" t="d">
        <v>2026-04-01</v>
      </c>
      <c r="D7" s="6">
        <v>8</v>
      </c>
      <c r="E7" s="6">
        <v>0</v>
      </c>
      <c r="F7" s="6">
        <v>4</v>
      </c>
      <c r="G7" s="6">
        <v>2</v>
      </c>
      <c r="H7" s="6">
        <v>3.5</v>
      </c>
      <c r="I7" s="6">
        <v>5</v>
      </c>
      <c r="J7" s="6">
        <v>3</v>
      </c>
    </row>
    <row r="8" spans="1:10" x14ac:dyDescent="0.3">
      <c r="A8" s="6">
        <v>7</v>
      </c>
      <c r="B8" s="6">
        <v>107</v>
      </c>
      <c r="C8" s="12" t="d">
        <v>2026-04-01</v>
      </c>
      <c r="D8" s="6">
        <v>9</v>
      </c>
      <c r="E8" s="6">
        <v>1</v>
      </c>
      <c r="F8" s="6">
        <v>6</v>
      </c>
      <c r="G8" s="6">
        <v>3</v>
      </c>
      <c r="H8" s="6">
        <v>2</v>
      </c>
      <c r="I8" s="6">
        <v>6</v>
      </c>
      <c r="J8" s="6">
        <v>6</v>
      </c>
    </row>
    <row r="9" spans="1:10" x14ac:dyDescent="0.3">
      <c r="A9" s="6">
        <v>8</v>
      </c>
      <c r="B9" s="6">
        <v>108</v>
      </c>
      <c r="C9" s="12" t="d">
        <v>2026-04-01</v>
      </c>
      <c r="D9" s="6">
        <v>12</v>
      </c>
      <c r="E9" s="6">
        <v>4</v>
      </c>
      <c r="F9" s="6">
        <v>10</v>
      </c>
      <c r="G9" s="6">
        <v>6</v>
      </c>
      <c r="H9" s="6">
        <v>0.5</v>
      </c>
      <c r="I9" s="6">
        <v>3</v>
      </c>
      <c r="J9" s="6">
        <v>12</v>
      </c>
    </row>
    <row r="10" spans="1:10" x14ac:dyDescent="0.3">
      <c r="A10" s="6">
        <v>9</v>
      </c>
      <c r="B10" s="6">
        <v>109</v>
      </c>
      <c r="C10" s="12" t="d">
        <v>2026-04-01</v>
      </c>
      <c r="D10" s="6">
        <v>7</v>
      </c>
      <c r="E10" s="6">
        <v>0</v>
      </c>
      <c r="F10" s="6">
        <v>1</v>
      </c>
      <c r="G10" s="6">
        <v>0.5</v>
      </c>
      <c r="H10" s="6">
        <v>5.5</v>
      </c>
      <c r="I10" s="6">
        <v>8</v>
      </c>
      <c r="J10" s="6">
        <v>1</v>
      </c>
    </row>
    <row r="11" spans="1:10" x14ac:dyDescent="0.3">
      <c r="A11" s="6">
        <v>10</v>
      </c>
      <c r="B11" s="6">
        <v>110</v>
      </c>
      <c r="C11" s="12" t="d">
        <v>2026-04-01</v>
      </c>
      <c r="D11" s="6">
        <v>9.5</v>
      </c>
      <c r="E11" s="6">
        <v>1.5</v>
      </c>
      <c r="F11" s="6">
        <v>5</v>
      </c>
      <c r="G11" s="6">
        <v>3</v>
      </c>
      <c r="H11" s="6">
        <v>2.5</v>
      </c>
      <c r="I11" s="6">
        <v>7</v>
      </c>
      <c r="J11" s="6">
        <v>5</v>
      </c>
    </row>
    <row r="12" spans="1:10" x14ac:dyDescent="0.3">
      <c r="A12" s="6">
        <v>11</v>
      </c>
      <c r="B12" s="6">
        <v>101</v>
      </c>
      <c r="C12" s="12" t="d">
        <v>2026-04-02</v>
      </c>
      <c r="D12" s="6">
        <v>9</v>
      </c>
      <c r="E12" s="6">
        <v>1</v>
      </c>
      <c r="F12" s="6">
        <v>5</v>
      </c>
      <c r="G12" s="6">
        <v>3</v>
      </c>
      <c r="H12" s="6">
        <v>2.5</v>
      </c>
      <c r="I12" s="6">
        <v>6</v>
      </c>
      <c r="J12" s="6">
        <v>5</v>
      </c>
    </row>
    <row r="13" spans="1:10" x14ac:dyDescent="0.3">
      <c r="A13" s="6">
        <v>12</v>
      </c>
      <c r="B13" s="6">
        <v>102</v>
      </c>
      <c r="C13" s="12" t="d">
        <v>2026-04-02</v>
      </c>
      <c r="D13" s="6">
        <v>8</v>
      </c>
      <c r="E13" s="6">
        <v>0</v>
      </c>
      <c r="F13" s="6">
        <v>3</v>
      </c>
      <c r="G13" s="6">
        <v>1.5</v>
      </c>
      <c r="H13" s="6">
        <v>4.5</v>
      </c>
      <c r="I13" s="6">
        <v>7</v>
      </c>
      <c r="J13" s="6">
        <v>2</v>
      </c>
    </row>
    <row r="14" spans="1:10" x14ac:dyDescent="0.3">
      <c r="A14" s="6">
        <v>13</v>
      </c>
      <c r="B14" s="6">
        <v>103</v>
      </c>
      <c r="C14" s="12" t="d">
        <v>2026-04-02</v>
      </c>
      <c r="D14" s="6">
        <v>10.5</v>
      </c>
      <c r="E14" s="6">
        <v>2.5</v>
      </c>
      <c r="F14" s="6">
        <v>8</v>
      </c>
      <c r="G14" s="6">
        <v>4.5</v>
      </c>
      <c r="H14" s="6">
        <v>1.5</v>
      </c>
      <c r="I14" s="6">
        <v>5</v>
      </c>
      <c r="J14" s="6">
        <v>9</v>
      </c>
    </row>
    <row r="15" spans="1:10" x14ac:dyDescent="0.3">
      <c r="A15" s="6">
        <v>14</v>
      </c>
      <c r="B15" s="6">
        <v>104</v>
      </c>
      <c r="C15" s="12" t="d">
        <v>2026-04-02</v>
      </c>
      <c r="D15" s="6">
        <v>8</v>
      </c>
      <c r="E15" s="6">
        <v>0</v>
      </c>
      <c r="F15" s="6">
        <v>4</v>
      </c>
      <c r="G15" s="6">
        <v>2</v>
      </c>
      <c r="H15" s="6">
        <v>4</v>
      </c>
      <c r="I15" s="6">
        <v>7</v>
      </c>
      <c r="J15" s="6">
        <v>3</v>
      </c>
    </row>
    <row r="16" spans="1:10" x14ac:dyDescent="0.3">
      <c r="A16" s="6">
        <v>15</v>
      </c>
      <c r="B16" s="6">
        <v>105</v>
      </c>
      <c r="C16" s="12" t="d">
        <v>2026-04-02</v>
      </c>
      <c r="D16" s="6">
        <v>11</v>
      </c>
      <c r="E16" s="6">
        <v>3</v>
      </c>
      <c r="F16" s="6">
        <v>9</v>
      </c>
      <c r="G16" s="6">
        <v>5</v>
      </c>
      <c r="H16" s="6">
        <v>1</v>
      </c>
      <c r="I16" s="6">
        <v>5</v>
      </c>
      <c r="J16" s="6">
        <v>11</v>
      </c>
    </row>
    <row r="17" spans="1:10" x14ac:dyDescent="0.3">
      <c r="A17" s="6">
        <v>16</v>
      </c>
      <c r="B17" s="6">
        <v>106</v>
      </c>
      <c r="C17" s="12" t="d">
        <v>2026-04-02</v>
      </c>
      <c r="D17" s="6">
        <v>7.5</v>
      </c>
      <c r="E17" s="6">
        <v>0</v>
      </c>
      <c r="F17" s="6">
        <v>3</v>
      </c>
      <c r="G17" s="6">
        <v>1.5</v>
      </c>
      <c r="H17" s="6">
        <v>4</v>
      </c>
      <c r="I17" s="6">
        <v>6</v>
      </c>
      <c r="J17" s="6">
        <v>2</v>
      </c>
    </row>
    <row r="18" spans="1:10" x14ac:dyDescent="0.3">
      <c r="A18" s="6">
        <v>17</v>
      </c>
      <c r="B18" s="6">
        <v>107</v>
      </c>
      <c r="C18" s="12" t="d">
        <v>2026-04-02</v>
      </c>
      <c r="D18" s="6">
        <v>9.5</v>
      </c>
      <c r="E18" s="6">
        <v>1.5</v>
      </c>
      <c r="F18" s="6">
        <v>7</v>
      </c>
      <c r="G18" s="6">
        <v>3.5</v>
      </c>
      <c r="H18" s="6">
        <v>2</v>
      </c>
      <c r="I18" s="6">
        <v>5</v>
      </c>
      <c r="J18" s="6">
        <v>7</v>
      </c>
    </row>
    <row r="19" spans="1:10" x14ac:dyDescent="0.3">
      <c r="A19" s="6">
        <v>18</v>
      </c>
      <c r="B19" s="6">
        <v>108</v>
      </c>
      <c r="C19" s="12" t="d">
        <v>2026-04-02</v>
      </c>
      <c r="D19" s="6">
        <v>11.5</v>
      </c>
      <c r="E19" s="6">
        <v>3.5</v>
      </c>
      <c r="F19" s="6">
        <v>9</v>
      </c>
      <c r="G19" s="6">
        <v>5</v>
      </c>
      <c r="H19" s="6">
        <v>1</v>
      </c>
      <c r="I19" s="6">
        <v>4</v>
      </c>
      <c r="J19" s="6">
        <v>10</v>
      </c>
    </row>
    <row r="20" spans="1:10" x14ac:dyDescent="0.3">
      <c r="A20" s="6">
        <v>19</v>
      </c>
      <c r="B20" s="6">
        <v>109</v>
      </c>
      <c r="C20" s="12" t="d">
        <v>2026-04-02</v>
      </c>
      <c r="D20" s="6">
        <v>7.5</v>
      </c>
      <c r="E20" s="6">
        <v>0</v>
      </c>
      <c r="F20" s="6">
        <v>2</v>
      </c>
      <c r="G20" s="6">
        <v>1</v>
      </c>
      <c r="H20" s="6">
        <v>5</v>
      </c>
      <c r="I20" s="6">
        <v>7</v>
      </c>
      <c r="J20" s="6">
        <v>2</v>
      </c>
    </row>
    <row r="21" spans="1:10" x14ac:dyDescent="0.3">
      <c r="A21" s="6">
        <v>20</v>
      </c>
      <c r="B21" s="6">
        <v>110</v>
      </c>
      <c r="C21" s="12" t="d">
        <v>2026-04-02</v>
      </c>
      <c r="D21" s="6">
        <v>9</v>
      </c>
      <c r="E21" s="6">
        <v>1</v>
      </c>
      <c r="F21" s="6">
        <v>4</v>
      </c>
      <c r="G21" s="6">
        <v>2.5</v>
      </c>
      <c r="H21" s="6">
        <v>3</v>
      </c>
      <c r="I21" s="6">
        <v>8</v>
      </c>
      <c r="J21" s="6">
        <v>4</v>
      </c>
    </row>
    <row r="22" spans="1:10" x14ac:dyDescent="0.3">
      <c r="A22" s="6">
        <v>21</v>
      </c>
      <c r="B22" s="6">
        <v>101</v>
      </c>
      <c r="C22" s="12" t="d">
        <v>2026-04-03</v>
      </c>
      <c r="D22" s="6">
        <v>10</v>
      </c>
      <c r="E22" s="6">
        <v>2</v>
      </c>
      <c r="F22" s="6">
        <v>4</v>
      </c>
      <c r="G22" s="6">
        <v>2</v>
      </c>
      <c r="H22" s="6">
        <v>3</v>
      </c>
      <c r="I22" s="6">
        <v>6</v>
      </c>
      <c r="J22" s="6">
        <v>6</v>
      </c>
    </row>
    <row r="23" spans="1:10" x14ac:dyDescent="0.3">
      <c r="A23" s="6">
        <v>22</v>
      </c>
      <c r="B23" s="6">
        <v>102</v>
      </c>
      <c r="C23" s="12" t="d">
        <v>2026-04-03</v>
      </c>
      <c r="D23" s="6">
        <v>8</v>
      </c>
      <c r="E23" s="6">
        <v>0</v>
      </c>
      <c r="F23" s="6">
        <v>9</v>
      </c>
      <c r="G23" s="6">
        <v>5</v>
      </c>
      <c r="H23" s="6">
        <v>1.5</v>
      </c>
      <c r="I23" s="6">
        <v>5</v>
      </c>
      <c r="J23" s="6">
        <v>4</v>
      </c>
    </row>
    <row r="24" spans="1:10" x14ac:dyDescent="0.3">
      <c r="A24" s="6">
        <v>23</v>
      </c>
      <c r="B24" s="6">
        <v>103</v>
      </c>
      <c r="C24" s="12" t="d">
        <v>2026-04-03</v>
      </c>
      <c r="D24" s="6">
        <v>8.5</v>
      </c>
      <c r="E24" s="6">
        <v>0.5</v>
      </c>
      <c r="F24" s="6">
        <v>4</v>
      </c>
      <c r="G24" s="6">
        <v>2</v>
      </c>
      <c r="H24" s="6">
        <v>4</v>
      </c>
      <c r="I24" s="6">
        <v>7</v>
      </c>
      <c r="J24" s="6">
        <v>3</v>
      </c>
    </row>
    <row r="25" spans="1:10" x14ac:dyDescent="0.3">
      <c r="A25" s="6">
        <v>24</v>
      </c>
      <c r="B25" s="6">
        <v>104</v>
      </c>
      <c r="C25" s="12" t="d">
        <v>2026-04-03</v>
      </c>
      <c r="D25" s="6">
        <v>9</v>
      </c>
      <c r="E25" s="6">
        <v>1</v>
      </c>
      <c r="F25" s="6">
        <v>3</v>
      </c>
      <c r="G25" s="6">
        <v>1.5</v>
      </c>
      <c r="H25" s="6">
        <v>5</v>
      </c>
      <c r="I25" s="6">
        <v>8</v>
      </c>
      <c r="J25" s="6">
        <v>2</v>
      </c>
    </row>
    <row r="26" spans="1:10" x14ac:dyDescent="0.3">
      <c r="A26" s="6">
        <v>25</v>
      </c>
      <c r="B26" s="6">
        <v>105</v>
      </c>
      <c r="C26" s="12" t="d">
        <v>2026-04-03</v>
      </c>
      <c r="D26" s="6">
        <v>11.5</v>
      </c>
      <c r="E26" s="6">
        <v>3.5</v>
      </c>
      <c r="F26" s="6">
        <v>5</v>
      </c>
      <c r="G26" s="6">
        <v>3</v>
      </c>
      <c r="H26" s="6">
        <v>2</v>
      </c>
      <c r="I26" s="6">
        <v>5</v>
      </c>
      <c r="J26" s="6">
        <v>7</v>
      </c>
    </row>
    <row r="27" spans="1:10" x14ac:dyDescent="0.3">
      <c r="A27" s="6">
        <v>26</v>
      </c>
      <c r="B27" s="6">
        <v>106</v>
      </c>
      <c r="C27" s="12" t="d">
        <v>2026-04-03</v>
      </c>
      <c r="D27" s="6">
        <v>8</v>
      </c>
      <c r="E27" s="6">
        <v>0</v>
      </c>
      <c r="F27" s="6">
        <v>2</v>
      </c>
      <c r="G27" s="6">
        <v>1</v>
      </c>
      <c r="H27" s="6">
        <v>5</v>
      </c>
      <c r="I27" s="6">
        <v>7</v>
      </c>
      <c r="J27" s="6">
        <v>1</v>
      </c>
    </row>
    <row r="28" spans="1:10" x14ac:dyDescent="0.3">
      <c r="A28" s="6">
        <v>27</v>
      </c>
      <c r="B28" s="6">
        <v>107</v>
      </c>
      <c r="C28" s="12" t="d">
        <v>2026-04-03</v>
      </c>
      <c r="D28" s="6">
        <v>9</v>
      </c>
      <c r="E28" s="6">
        <v>1</v>
      </c>
      <c r="F28" s="6">
        <v>4</v>
      </c>
      <c r="G28" s="6">
        <v>2</v>
      </c>
      <c r="H28" s="6">
        <v>3</v>
      </c>
      <c r="I28" s="6">
        <v>4</v>
      </c>
      <c r="J28" s="6">
        <v>9</v>
      </c>
    </row>
    <row r="29" spans="1:10" x14ac:dyDescent="0.3">
      <c r="A29" s="6">
        <v>28</v>
      </c>
      <c r="B29" s="6">
        <v>108</v>
      </c>
      <c r="C29" s="12" t="d">
        <v>2026-04-03</v>
      </c>
      <c r="D29" s="6">
        <v>8</v>
      </c>
      <c r="E29" s="6">
        <v>0</v>
      </c>
      <c r="F29" s="6">
        <v>5</v>
      </c>
      <c r="G29" s="6">
        <v>2.5</v>
      </c>
      <c r="H29" s="6">
        <v>3</v>
      </c>
      <c r="I29" s="6">
        <v>5</v>
      </c>
      <c r="J29" s="6">
        <v>5</v>
      </c>
    </row>
    <row r="30" spans="1:10" x14ac:dyDescent="0.3">
      <c r="A30" s="6">
        <v>29</v>
      </c>
      <c r="B30" s="6">
        <v>109</v>
      </c>
      <c r="C30" s="12" t="d">
        <v>2026-04-03</v>
      </c>
      <c r="D30" s="6">
        <v>7.5</v>
      </c>
      <c r="E30" s="6">
        <v>0</v>
      </c>
      <c r="F30" s="6">
        <v>2</v>
      </c>
      <c r="G30" s="6">
        <v>1</v>
      </c>
      <c r="H30" s="6">
        <v>5.5</v>
      </c>
      <c r="I30" s="6">
        <v>8</v>
      </c>
      <c r="J30" s="6">
        <v>1</v>
      </c>
    </row>
    <row r="31" spans="1:10" x14ac:dyDescent="0.3">
      <c r="A31" s="6">
        <v>30</v>
      </c>
      <c r="B31" s="6">
        <v>110</v>
      </c>
      <c r="C31" s="12" t="d">
        <v>2026-04-03</v>
      </c>
      <c r="D31" s="6">
        <v>10</v>
      </c>
      <c r="E31" s="6">
        <v>2</v>
      </c>
      <c r="F31" s="6">
        <v>8</v>
      </c>
      <c r="G31" s="6">
        <v>4</v>
      </c>
      <c r="H31" s="6">
        <v>2</v>
      </c>
      <c r="I31" s="6">
        <v>6</v>
      </c>
      <c r="J31" s="6">
        <v>8</v>
      </c>
    </row>
    <row r="32" spans="1:10" x14ac:dyDescent="0.3">
      <c r="A32" s="6">
        <v>31</v>
      </c>
      <c r="B32" s="6">
        <v>101</v>
      </c>
      <c r="C32" s="12" t="d">
        <v>2026-04-04</v>
      </c>
      <c r="D32" s="6">
        <v>8</v>
      </c>
      <c r="E32" s="6">
        <v>0</v>
      </c>
      <c r="F32" s="6">
        <v>2</v>
      </c>
      <c r="G32" s="6">
        <v>1</v>
      </c>
      <c r="H32" s="6">
        <v>5</v>
      </c>
      <c r="I32" s="6">
        <v>8</v>
      </c>
      <c r="J32" s="6">
        <v>2</v>
      </c>
    </row>
    <row r="33" spans="1:10" x14ac:dyDescent="0.3">
      <c r="A33" s="6">
        <v>32</v>
      </c>
      <c r="B33" s="6">
        <v>102</v>
      </c>
      <c r="C33" s="12" t="d">
        <v>2026-04-04</v>
      </c>
      <c r="D33" s="6">
        <v>9.5</v>
      </c>
      <c r="E33" s="6">
        <v>1.5</v>
      </c>
      <c r="F33" s="6">
        <v>7</v>
      </c>
      <c r="G33" s="6">
        <v>3.5</v>
      </c>
      <c r="H33" s="6">
        <v>2</v>
      </c>
      <c r="I33" s="6">
        <v>5</v>
      </c>
      <c r="J33" s="6">
        <v>6</v>
      </c>
    </row>
    <row r="34" spans="1:10" x14ac:dyDescent="0.3">
      <c r="A34" s="6">
        <v>33</v>
      </c>
      <c r="B34" s="6">
        <v>103</v>
      </c>
      <c r="C34" s="12" t="d">
        <v>2026-04-04</v>
      </c>
      <c r="D34" s="6">
        <v>11</v>
      </c>
      <c r="E34" s="6">
        <v>3</v>
      </c>
      <c r="F34" s="6">
        <v>4</v>
      </c>
      <c r="G34" s="6">
        <v>2</v>
      </c>
      <c r="H34" s="6">
        <v>2</v>
      </c>
      <c r="I34" s="6">
        <v>6</v>
      </c>
      <c r="J34" s="6">
        <v>5</v>
      </c>
    </row>
    <row r="35" spans="1:10" x14ac:dyDescent="0.3">
      <c r="A35" s="6">
        <v>34</v>
      </c>
      <c r="B35" s="6">
        <v>104</v>
      </c>
      <c r="C35" s="12" t="d">
        <v>2026-04-04</v>
      </c>
      <c r="D35" s="6">
        <v>8.5</v>
      </c>
      <c r="E35" s="6">
        <v>0.5</v>
      </c>
      <c r="F35" s="6">
        <v>10</v>
      </c>
      <c r="G35" s="6">
        <v>5.5</v>
      </c>
      <c r="H35" s="6">
        <v>1</v>
      </c>
      <c r="I35" s="6">
        <v>4</v>
      </c>
      <c r="J35" s="6">
        <v>6</v>
      </c>
    </row>
    <row r="36" spans="1:10" x14ac:dyDescent="0.3">
      <c r="A36" s="6">
        <v>35</v>
      </c>
      <c r="B36" s="6">
        <v>105</v>
      </c>
      <c r="C36" s="12" t="d">
        <v>2026-04-04</v>
      </c>
      <c r="D36" s="6">
        <v>9</v>
      </c>
      <c r="E36" s="6">
        <v>1</v>
      </c>
      <c r="F36" s="6">
        <v>3</v>
      </c>
      <c r="G36" s="6">
        <v>1.5</v>
      </c>
      <c r="H36" s="6">
        <v>4</v>
      </c>
      <c r="I36" s="6">
        <v>6</v>
      </c>
      <c r="J36" s="6">
        <v>9</v>
      </c>
    </row>
    <row r="37" spans="1:10" x14ac:dyDescent="0.3">
      <c r="A37" s="6">
        <v>36</v>
      </c>
      <c r="B37" s="6">
        <v>106</v>
      </c>
      <c r="C37" s="12" t="d">
        <v>2026-04-04</v>
      </c>
      <c r="D37" s="6">
        <v>8</v>
      </c>
      <c r="E37" s="6">
        <v>0</v>
      </c>
      <c r="F37" s="6">
        <v>3</v>
      </c>
      <c r="G37" s="6">
        <v>1.5</v>
      </c>
      <c r="H37" s="6">
        <v>4.5</v>
      </c>
      <c r="I37" s="6">
        <v>7</v>
      </c>
      <c r="J37" s="6">
        <v>2</v>
      </c>
    </row>
    <row r="38" spans="1:10" x14ac:dyDescent="0.3">
      <c r="A38" s="6">
        <v>37</v>
      </c>
      <c r="B38" s="6">
        <v>107</v>
      </c>
      <c r="C38" s="12" t="d">
        <v>2026-04-04</v>
      </c>
      <c r="D38" s="6">
        <v>10.5</v>
      </c>
      <c r="E38" s="6">
        <v>2.5</v>
      </c>
      <c r="F38" s="6">
        <v>6</v>
      </c>
      <c r="G38" s="6">
        <v>3</v>
      </c>
      <c r="H38" s="6">
        <v>2</v>
      </c>
      <c r="I38" s="6">
        <v>5</v>
      </c>
      <c r="J38" s="6">
        <v>10</v>
      </c>
    </row>
    <row r="39" spans="1:10" x14ac:dyDescent="0.3">
      <c r="A39" s="6">
        <v>38</v>
      </c>
      <c r="B39" s="6">
        <v>108</v>
      </c>
      <c r="C39" s="12" t="d">
        <v>2026-04-04</v>
      </c>
      <c r="D39" s="6">
        <v>8</v>
      </c>
      <c r="E39" s="6">
        <v>0</v>
      </c>
      <c r="F39" s="6">
        <v>4</v>
      </c>
      <c r="G39" s="6">
        <v>2</v>
      </c>
      <c r="H39" s="6">
        <v>3.5</v>
      </c>
      <c r="I39" s="6">
        <v>6</v>
      </c>
      <c r="J39" s="6">
        <v>4</v>
      </c>
    </row>
    <row r="40" spans="1:10" x14ac:dyDescent="0.3">
      <c r="A40" s="6">
        <v>39</v>
      </c>
      <c r="B40" s="6">
        <v>109</v>
      </c>
      <c r="C40" s="12" t="d">
        <v>2026-04-04</v>
      </c>
      <c r="D40" s="6">
        <v>9</v>
      </c>
      <c r="E40" s="6">
        <v>1</v>
      </c>
      <c r="F40" s="6">
        <v>5</v>
      </c>
      <c r="G40" s="6">
        <v>2.5</v>
      </c>
      <c r="H40" s="6">
        <v>3</v>
      </c>
      <c r="I40" s="6">
        <v>6</v>
      </c>
      <c r="J40" s="6">
        <v>5</v>
      </c>
    </row>
    <row r="41" spans="1:10" x14ac:dyDescent="0.3">
      <c r="A41" s="6">
        <v>40</v>
      </c>
      <c r="B41" s="6">
        <v>110</v>
      </c>
      <c r="C41" s="12" t="d">
        <v>2026-04-04</v>
      </c>
      <c r="D41" s="6">
        <v>7.5</v>
      </c>
      <c r="E41" s="6">
        <v>0</v>
      </c>
      <c r="F41" s="6">
        <v>2</v>
      </c>
      <c r="G41" s="6">
        <v>1</v>
      </c>
      <c r="H41" s="6">
        <v>5</v>
      </c>
      <c r="I41" s="6">
        <v>8</v>
      </c>
      <c r="J41" s="6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42481-3FB3-4946-AF71-2922EB03E4DB}">
  <dimension ref="A1:H41"/>
  <sheetViews>
    <sheetView zoomScale="145" zoomScaleNormal="145" workbookViewId="0">
      <selection activeCell="C1" sqref="C1:C1048576"/>
    </sheetView>
  </sheetViews>
  <sheetFormatPr defaultRowHeight="14.4" x14ac:dyDescent="0.3"/>
  <cols>
    <col min="1" max="1" width="8.88671875" style="4"/>
    <col min="2" max="2" width="12.33203125" style="4" customWidth="1"/>
    <col min="3" max="3" width="10.6640625" style="11" bestFit="1" customWidth="1"/>
    <col min="4" max="4" width="12" style="5" customWidth="1"/>
    <col min="5" max="5" width="12" style="4" customWidth="1"/>
    <col min="6" max="6" width="12.21875" style="4" customWidth="1"/>
    <col min="7" max="7" width="11.77734375" style="4" customWidth="1"/>
    <col min="8" max="8" width="12.88671875" style="4" customWidth="1"/>
  </cols>
  <sheetData>
    <row r="1" spans="1:8" x14ac:dyDescent="0.3">
      <c r="A1" s="4" t="s">
        <v>5</v>
      </c>
      <c r="B1" s="4" t="s">
        <v>0</v>
      </c>
      <c r="C1" s="11" t="s">
        <v>6</v>
      </c>
      <c r="D1" s="5" t="s">
        <v>14</v>
      </c>
      <c r="E1" s="4" t="s">
        <v>15</v>
      </c>
      <c r="F1" s="4" t="s">
        <v>16</v>
      </c>
      <c r="G1" s="4" t="s">
        <v>17</v>
      </c>
      <c r="H1" s="4" t="s">
        <v>18</v>
      </c>
    </row>
    <row r="2" spans="1:8" x14ac:dyDescent="0.3">
      <c r="A2" s="6">
        <v>1</v>
      </c>
      <c r="B2" s="6">
        <v>101</v>
      </c>
      <c r="C2" s="12" t="d">
        <v>2026-04-01</v>
      </c>
      <c r="D2" s="6">
        <v>7</v>
      </c>
      <c r="E2" s="6">
        <v>5</v>
      </c>
      <c r="F2" s="6">
        <v>7</v>
      </c>
      <c r="G2" s="6">
        <v>6</v>
      </c>
      <c r="H2" s="6">
        <v>3</v>
      </c>
    </row>
    <row r="3" spans="1:8" x14ac:dyDescent="0.3">
      <c r="A3" s="6">
        <v>2</v>
      </c>
      <c r="B3" s="6">
        <v>102</v>
      </c>
      <c r="C3" s="12" t="d">
        <v>2026-04-01</v>
      </c>
      <c r="D3" s="6">
        <v>7.5</v>
      </c>
      <c r="E3" s="6">
        <v>3</v>
      </c>
      <c r="F3" s="6">
        <v>8</v>
      </c>
      <c r="G3" s="6">
        <v>7</v>
      </c>
      <c r="H3" s="6">
        <v>4</v>
      </c>
    </row>
    <row r="4" spans="1:8" x14ac:dyDescent="0.3">
      <c r="A4" s="6">
        <v>3</v>
      </c>
      <c r="B4" s="6">
        <v>103</v>
      </c>
      <c r="C4" s="12" t="d">
        <v>2026-04-01</v>
      </c>
      <c r="D4" s="6">
        <v>4.5</v>
      </c>
      <c r="E4" s="6">
        <v>9</v>
      </c>
      <c r="F4" s="6">
        <v>2</v>
      </c>
      <c r="G4" s="6">
        <v>3</v>
      </c>
      <c r="H4" s="6">
        <v>0</v>
      </c>
    </row>
    <row r="5" spans="1:8" x14ac:dyDescent="0.3">
      <c r="A5" s="6">
        <v>4</v>
      </c>
      <c r="B5" s="6">
        <v>104</v>
      </c>
      <c r="C5" s="12" t="d">
        <v>2026-04-01</v>
      </c>
      <c r="D5" s="6">
        <v>6.5</v>
      </c>
      <c r="E5" s="6">
        <v>6</v>
      </c>
      <c r="F5" s="6">
        <v>6</v>
      </c>
      <c r="G5" s="6">
        <v>5</v>
      </c>
      <c r="H5" s="6">
        <v>2</v>
      </c>
    </row>
    <row r="6" spans="1:8" x14ac:dyDescent="0.3">
      <c r="A6" s="6">
        <v>5</v>
      </c>
      <c r="B6" s="6">
        <v>105</v>
      </c>
      <c r="C6" s="12" t="d">
        <v>2026-04-01</v>
      </c>
      <c r="D6" s="6">
        <v>5</v>
      </c>
      <c r="E6" s="6">
        <v>8</v>
      </c>
      <c r="F6" s="6">
        <v>3</v>
      </c>
      <c r="G6" s="6">
        <v>3</v>
      </c>
      <c r="H6" s="6">
        <v>1</v>
      </c>
    </row>
    <row r="7" spans="1:8" x14ac:dyDescent="0.3">
      <c r="A7" s="6">
        <v>6</v>
      </c>
      <c r="B7" s="6">
        <v>106</v>
      </c>
      <c r="C7" s="12" t="d">
        <v>2026-04-01</v>
      </c>
      <c r="D7" s="6">
        <v>6</v>
      </c>
      <c r="E7" s="6">
        <v>5</v>
      </c>
      <c r="F7" s="6">
        <v>6</v>
      </c>
      <c r="G7" s="6">
        <v>6</v>
      </c>
      <c r="H7" s="6">
        <v>3</v>
      </c>
    </row>
    <row r="8" spans="1:8" x14ac:dyDescent="0.3">
      <c r="A8" s="6">
        <v>7</v>
      </c>
      <c r="B8" s="6">
        <v>107</v>
      </c>
      <c r="C8" s="12" t="d">
        <v>2026-04-01</v>
      </c>
      <c r="D8" s="6">
        <v>5.5</v>
      </c>
      <c r="E8" s="6">
        <v>7</v>
      </c>
      <c r="F8" s="6">
        <v>4</v>
      </c>
      <c r="G8" s="6">
        <v>4</v>
      </c>
      <c r="H8" s="6">
        <v>1</v>
      </c>
    </row>
    <row r="9" spans="1:8" x14ac:dyDescent="0.3">
      <c r="A9" s="6">
        <v>8</v>
      </c>
      <c r="B9" s="6">
        <v>108</v>
      </c>
      <c r="C9" s="12" t="d">
        <v>2026-04-01</v>
      </c>
      <c r="D9" s="6">
        <v>3</v>
      </c>
      <c r="E9" s="6">
        <v>10</v>
      </c>
      <c r="F9" s="6">
        <v>1</v>
      </c>
      <c r="G9" s="6">
        <v>2</v>
      </c>
      <c r="H9" s="6">
        <v>0</v>
      </c>
    </row>
    <row r="10" spans="1:8" x14ac:dyDescent="0.3">
      <c r="A10" s="6">
        <v>9</v>
      </c>
      <c r="B10" s="6">
        <v>109</v>
      </c>
      <c r="C10" s="12" t="d">
        <v>2026-04-01</v>
      </c>
      <c r="D10" s="6">
        <v>8</v>
      </c>
      <c r="E10" s="6">
        <v>2</v>
      </c>
      <c r="F10" s="6">
        <v>8</v>
      </c>
      <c r="G10" s="6">
        <v>8</v>
      </c>
      <c r="H10" s="6">
        <v>4</v>
      </c>
    </row>
    <row r="11" spans="1:8" x14ac:dyDescent="0.3">
      <c r="A11" s="6">
        <v>10</v>
      </c>
      <c r="B11" s="6">
        <v>110</v>
      </c>
      <c r="C11" s="12" t="d">
        <v>2026-04-01</v>
      </c>
      <c r="D11" s="6">
        <v>6</v>
      </c>
      <c r="E11" s="6">
        <v>7</v>
      </c>
      <c r="F11" s="6">
        <v>5</v>
      </c>
      <c r="G11" s="6">
        <v>5</v>
      </c>
      <c r="H11" s="6">
        <v>2</v>
      </c>
    </row>
    <row r="12" spans="1:8" x14ac:dyDescent="0.3">
      <c r="A12" s="6">
        <v>11</v>
      </c>
      <c r="B12" s="6">
        <v>101</v>
      </c>
      <c r="C12" s="12" t="d">
        <v>2026-04-02</v>
      </c>
      <c r="D12" s="6">
        <v>6</v>
      </c>
      <c r="E12" s="6">
        <v>7</v>
      </c>
      <c r="F12" s="6">
        <v>5</v>
      </c>
      <c r="G12" s="6">
        <v>5</v>
      </c>
      <c r="H12" s="6">
        <v>2</v>
      </c>
    </row>
    <row r="13" spans="1:8" x14ac:dyDescent="0.3">
      <c r="A13" s="6">
        <v>12</v>
      </c>
      <c r="B13" s="6">
        <v>102</v>
      </c>
      <c r="C13" s="12" t="d">
        <v>2026-04-02</v>
      </c>
      <c r="D13" s="6">
        <v>7</v>
      </c>
      <c r="E13" s="6">
        <v>4</v>
      </c>
      <c r="F13" s="6">
        <v>7</v>
      </c>
      <c r="G13" s="6">
        <v>7</v>
      </c>
      <c r="H13" s="6">
        <v>3</v>
      </c>
    </row>
    <row r="14" spans="1:8" x14ac:dyDescent="0.3">
      <c r="A14" s="6">
        <v>13</v>
      </c>
      <c r="B14" s="6">
        <v>103</v>
      </c>
      <c r="C14" s="12" t="d">
        <v>2026-04-02</v>
      </c>
      <c r="D14" s="6">
        <v>5</v>
      </c>
      <c r="E14" s="6">
        <v>8</v>
      </c>
      <c r="F14" s="6">
        <v>3</v>
      </c>
      <c r="G14" s="6">
        <v>4</v>
      </c>
      <c r="H14" s="6">
        <v>1</v>
      </c>
    </row>
    <row r="15" spans="1:8" x14ac:dyDescent="0.3">
      <c r="A15" s="6">
        <v>14</v>
      </c>
      <c r="B15" s="6">
        <v>104</v>
      </c>
      <c r="C15" s="12" t="d">
        <v>2026-04-02</v>
      </c>
      <c r="D15" s="6">
        <v>7</v>
      </c>
      <c r="E15" s="6">
        <v>5</v>
      </c>
      <c r="F15" s="6">
        <v>7</v>
      </c>
      <c r="G15" s="6">
        <v>6</v>
      </c>
      <c r="H15" s="6">
        <v>3</v>
      </c>
    </row>
    <row r="16" spans="1:8" x14ac:dyDescent="0.3">
      <c r="A16" s="6">
        <v>15</v>
      </c>
      <c r="B16" s="6">
        <v>105</v>
      </c>
      <c r="C16" s="12" t="d">
        <v>2026-04-02</v>
      </c>
      <c r="D16" s="6">
        <v>4.5</v>
      </c>
      <c r="E16" s="6">
        <v>9</v>
      </c>
      <c r="F16" s="6">
        <v>2</v>
      </c>
      <c r="G16" s="6">
        <v>2</v>
      </c>
      <c r="H16" s="6">
        <v>0</v>
      </c>
    </row>
    <row r="17" spans="1:8" x14ac:dyDescent="0.3">
      <c r="A17" s="6">
        <v>16</v>
      </c>
      <c r="B17" s="6">
        <v>106</v>
      </c>
      <c r="C17" s="12" t="d">
        <v>2026-04-02</v>
      </c>
      <c r="D17" s="6">
        <v>7</v>
      </c>
      <c r="E17" s="6">
        <v>4</v>
      </c>
      <c r="F17" s="6">
        <v>7</v>
      </c>
      <c r="G17" s="6">
        <v>7</v>
      </c>
      <c r="H17" s="6">
        <v>4</v>
      </c>
    </row>
    <row r="18" spans="1:8" x14ac:dyDescent="0.3">
      <c r="A18" s="6">
        <v>17</v>
      </c>
      <c r="B18" s="6">
        <v>107</v>
      </c>
      <c r="C18" s="12" t="d">
        <v>2026-04-02</v>
      </c>
      <c r="D18" s="6">
        <v>5</v>
      </c>
      <c r="E18" s="6">
        <v>8</v>
      </c>
      <c r="F18" s="6">
        <v>3</v>
      </c>
      <c r="G18" s="6">
        <v>3</v>
      </c>
      <c r="H18" s="6">
        <v>1</v>
      </c>
    </row>
    <row r="19" spans="1:8" x14ac:dyDescent="0.3">
      <c r="A19" s="6">
        <v>18</v>
      </c>
      <c r="B19" s="6">
        <v>108</v>
      </c>
      <c r="C19" s="12" t="d">
        <v>2026-04-02</v>
      </c>
      <c r="D19" s="6">
        <v>4</v>
      </c>
      <c r="E19" s="6">
        <v>9</v>
      </c>
      <c r="F19" s="6">
        <v>2</v>
      </c>
      <c r="G19" s="6">
        <v>2</v>
      </c>
      <c r="H19" s="6">
        <v>0</v>
      </c>
    </row>
    <row r="20" spans="1:8" x14ac:dyDescent="0.3">
      <c r="A20" s="6">
        <v>19</v>
      </c>
      <c r="B20" s="6">
        <v>109</v>
      </c>
      <c r="C20" s="12" t="d">
        <v>2026-04-02</v>
      </c>
      <c r="D20" s="6">
        <v>7.5</v>
      </c>
      <c r="E20" s="6">
        <v>3</v>
      </c>
      <c r="F20" s="6">
        <v>7</v>
      </c>
      <c r="G20" s="6">
        <v>7</v>
      </c>
      <c r="H20" s="6">
        <v>4</v>
      </c>
    </row>
    <row r="21" spans="1:8" x14ac:dyDescent="0.3">
      <c r="A21" s="6">
        <v>20</v>
      </c>
      <c r="B21" s="6">
        <v>110</v>
      </c>
      <c r="C21" s="12" t="d">
        <v>2026-04-02</v>
      </c>
      <c r="D21" s="6">
        <v>6.5</v>
      </c>
      <c r="E21" s="6">
        <v>6</v>
      </c>
      <c r="F21" s="6">
        <v>6</v>
      </c>
      <c r="G21" s="6">
        <v>6</v>
      </c>
      <c r="H21" s="6">
        <v>3</v>
      </c>
    </row>
    <row r="22" spans="1:8" x14ac:dyDescent="0.3">
      <c r="A22" s="6">
        <v>21</v>
      </c>
      <c r="B22" s="6">
        <v>101</v>
      </c>
      <c r="C22" s="12" t="d">
        <v>2026-04-03</v>
      </c>
      <c r="D22" s="6">
        <v>5.5</v>
      </c>
      <c r="E22" s="6">
        <v>6</v>
      </c>
      <c r="F22" s="6">
        <v>5</v>
      </c>
      <c r="G22" s="6">
        <v>5</v>
      </c>
      <c r="H22" s="6">
        <v>2</v>
      </c>
    </row>
    <row r="23" spans="1:8" x14ac:dyDescent="0.3">
      <c r="A23" s="6">
        <v>22</v>
      </c>
      <c r="B23" s="6">
        <v>102</v>
      </c>
      <c r="C23" s="12" t="d">
        <v>2026-04-03</v>
      </c>
      <c r="D23" s="6">
        <v>6.5</v>
      </c>
      <c r="E23" s="6">
        <v>6</v>
      </c>
      <c r="F23" s="6">
        <v>5</v>
      </c>
      <c r="G23" s="6">
        <v>5</v>
      </c>
      <c r="H23" s="6">
        <v>2</v>
      </c>
    </row>
    <row r="24" spans="1:8" x14ac:dyDescent="0.3">
      <c r="A24" s="6">
        <v>23</v>
      </c>
      <c r="B24" s="6">
        <v>103</v>
      </c>
      <c r="C24" s="12" t="d">
        <v>2026-04-03</v>
      </c>
      <c r="D24" s="6">
        <v>7</v>
      </c>
      <c r="E24" s="6">
        <v>4</v>
      </c>
      <c r="F24" s="6">
        <v>7</v>
      </c>
      <c r="G24" s="6">
        <v>7</v>
      </c>
      <c r="H24" s="6">
        <v>3</v>
      </c>
    </row>
    <row r="25" spans="1:8" x14ac:dyDescent="0.3">
      <c r="A25" s="6">
        <v>24</v>
      </c>
      <c r="B25" s="6">
        <v>104</v>
      </c>
      <c r="C25" s="12" t="d">
        <v>2026-04-03</v>
      </c>
      <c r="D25" s="6">
        <v>7.5</v>
      </c>
      <c r="E25" s="6">
        <v>3</v>
      </c>
      <c r="F25" s="6">
        <v>8</v>
      </c>
      <c r="G25" s="6">
        <v>8</v>
      </c>
      <c r="H25" s="6">
        <v>4</v>
      </c>
    </row>
    <row r="26" spans="1:8" x14ac:dyDescent="0.3">
      <c r="A26" s="6">
        <v>25</v>
      </c>
      <c r="B26" s="6">
        <v>105</v>
      </c>
      <c r="C26" s="12" t="d">
        <v>2026-04-03</v>
      </c>
      <c r="D26" s="6">
        <v>6</v>
      </c>
      <c r="E26" s="6">
        <v>6</v>
      </c>
      <c r="F26" s="6">
        <v>5</v>
      </c>
      <c r="G26" s="6">
        <v>5</v>
      </c>
      <c r="H26" s="6">
        <v>2</v>
      </c>
    </row>
    <row r="27" spans="1:8" x14ac:dyDescent="0.3">
      <c r="A27" s="6">
        <v>26</v>
      </c>
      <c r="B27" s="6">
        <v>106</v>
      </c>
      <c r="C27" s="12" t="d">
        <v>2026-04-03</v>
      </c>
      <c r="D27" s="6">
        <v>8</v>
      </c>
      <c r="E27" s="6">
        <v>2</v>
      </c>
      <c r="F27" s="6">
        <v>8</v>
      </c>
      <c r="G27" s="6">
        <v>8</v>
      </c>
      <c r="H27" s="6">
        <v>4</v>
      </c>
    </row>
    <row r="28" spans="1:8" x14ac:dyDescent="0.3">
      <c r="A28" s="6">
        <v>27</v>
      </c>
      <c r="B28" s="6">
        <v>107</v>
      </c>
      <c r="C28" s="12" t="d">
        <v>2026-04-03</v>
      </c>
      <c r="D28" s="6">
        <v>6</v>
      </c>
      <c r="E28" s="6">
        <v>6</v>
      </c>
      <c r="F28" s="6">
        <v>5</v>
      </c>
      <c r="G28" s="6">
        <v>5</v>
      </c>
      <c r="H28" s="6">
        <v>2</v>
      </c>
    </row>
    <row r="29" spans="1:8" x14ac:dyDescent="0.3">
      <c r="A29" s="6">
        <v>28</v>
      </c>
      <c r="B29" s="6">
        <v>108</v>
      </c>
      <c r="C29" s="12" t="d">
        <v>2026-04-03</v>
      </c>
      <c r="D29" s="6">
        <v>4.5</v>
      </c>
      <c r="E29" s="6">
        <v>7</v>
      </c>
      <c r="F29" s="6">
        <v>4</v>
      </c>
      <c r="G29" s="6">
        <v>4</v>
      </c>
      <c r="H29" s="6">
        <v>1</v>
      </c>
    </row>
    <row r="30" spans="1:8" x14ac:dyDescent="0.3">
      <c r="A30" s="6">
        <v>29</v>
      </c>
      <c r="B30" s="6">
        <v>109</v>
      </c>
      <c r="C30" s="12" t="d">
        <v>2026-04-03</v>
      </c>
      <c r="D30" s="6">
        <v>8</v>
      </c>
      <c r="E30" s="6">
        <v>2</v>
      </c>
      <c r="F30" s="6">
        <v>9</v>
      </c>
      <c r="G30" s="6">
        <v>8</v>
      </c>
      <c r="H30" s="6">
        <v>4</v>
      </c>
    </row>
    <row r="31" spans="1:8" x14ac:dyDescent="0.3">
      <c r="A31" s="6">
        <v>30</v>
      </c>
      <c r="B31" s="6">
        <v>110</v>
      </c>
      <c r="C31" s="12" t="d">
        <v>2026-04-03</v>
      </c>
      <c r="D31" s="6">
        <v>6</v>
      </c>
      <c r="E31" s="6">
        <v>7</v>
      </c>
      <c r="F31" s="6">
        <v>4</v>
      </c>
      <c r="G31" s="6">
        <v>4</v>
      </c>
      <c r="H31" s="6">
        <v>1</v>
      </c>
    </row>
    <row r="32" spans="1:8" x14ac:dyDescent="0.3">
      <c r="A32" s="6">
        <v>31</v>
      </c>
      <c r="B32" s="6">
        <v>101</v>
      </c>
      <c r="C32" s="12" t="d">
        <v>2026-04-04</v>
      </c>
      <c r="D32" s="6">
        <v>7.5</v>
      </c>
      <c r="E32" s="6">
        <v>3</v>
      </c>
      <c r="F32" s="6">
        <v>8</v>
      </c>
      <c r="G32" s="6">
        <v>8</v>
      </c>
      <c r="H32" s="6">
        <v>4</v>
      </c>
    </row>
    <row r="33" spans="1:8" x14ac:dyDescent="0.3">
      <c r="A33" s="6">
        <v>32</v>
      </c>
      <c r="B33" s="6">
        <v>102</v>
      </c>
      <c r="C33" s="12" t="d">
        <v>2026-04-04</v>
      </c>
      <c r="D33" s="6">
        <v>5</v>
      </c>
      <c r="E33" s="6">
        <v>7</v>
      </c>
      <c r="F33" s="6">
        <v>4</v>
      </c>
      <c r="G33" s="6">
        <v>4</v>
      </c>
      <c r="H33" s="6">
        <v>1</v>
      </c>
    </row>
    <row r="34" spans="1:8" x14ac:dyDescent="0.3">
      <c r="A34" s="6">
        <v>33</v>
      </c>
      <c r="B34" s="6">
        <v>103</v>
      </c>
      <c r="C34" s="12" t="d">
        <v>2026-04-04</v>
      </c>
      <c r="D34" s="6">
        <v>6</v>
      </c>
      <c r="E34" s="6">
        <v>6</v>
      </c>
      <c r="F34" s="6">
        <v>5</v>
      </c>
      <c r="G34" s="6">
        <v>5</v>
      </c>
      <c r="H34" s="6">
        <v>2</v>
      </c>
    </row>
    <row r="35" spans="1:8" x14ac:dyDescent="0.3">
      <c r="A35" s="6">
        <v>34</v>
      </c>
      <c r="B35" s="6">
        <v>104</v>
      </c>
      <c r="C35" s="12" t="d">
        <v>2026-04-04</v>
      </c>
      <c r="D35" s="6">
        <v>6.5</v>
      </c>
      <c r="E35" s="6">
        <v>6</v>
      </c>
      <c r="F35" s="6">
        <v>5</v>
      </c>
      <c r="G35" s="6">
        <v>5</v>
      </c>
      <c r="H35" s="6">
        <v>2</v>
      </c>
    </row>
    <row r="36" spans="1:8" x14ac:dyDescent="0.3">
      <c r="A36" s="6">
        <v>35</v>
      </c>
      <c r="B36" s="6">
        <v>105</v>
      </c>
      <c r="C36" s="12" t="d">
        <v>2026-04-04</v>
      </c>
      <c r="D36" s="6">
        <v>6</v>
      </c>
      <c r="E36" s="6">
        <v>6</v>
      </c>
      <c r="F36" s="6">
        <v>5</v>
      </c>
      <c r="G36" s="6">
        <v>5</v>
      </c>
      <c r="H36" s="6">
        <v>2</v>
      </c>
    </row>
    <row r="37" spans="1:8" x14ac:dyDescent="0.3">
      <c r="A37" s="6">
        <v>36</v>
      </c>
      <c r="B37" s="6">
        <v>106</v>
      </c>
      <c r="C37" s="12" t="d">
        <v>2026-04-04</v>
      </c>
      <c r="D37" s="6">
        <v>7</v>
      </c>
      <c r="E37" s="6">
        <v>4</v>
      </c>
      <c r="F37" s="6">
        <v>7</v>
      </c>
      <c r="G37" s="6">
        <v>7</v>
      </c>
      <c r="H37" s="6">
        <v>3</v>
      </c>
    </row>
    <row r="38" spans="1:8" x14ac:dyDescent="0.3">
      <c r="A38" s="6">
        <v>37</v>
      </c>
      <c r="B38" s="6">
        <v>107</v>
      </c>
      <c r="C38" s="12" t="d">
        <v>2026-04-04</v>
      </c>
      <c r="D38" s="6">
        <v>5.5</v>
      </c>
      <c r="E38" s="6">
        <v>7</v>
      </c>
      <c r="F38" s="6">
        <v>4</v>
      </c>
      <c r="G38" s="6">
        <v>4</v>
      </c>
      <c r="H38" s="6">
        <v>1</v>
      </c>
    </row>
    <row r="39" spans="1:8" x14ac:dyDescent="0.3">
      <c r="A39" s="6">
        <v>38</v>
      </c>
      <c r="B39" s="6">
        <v>108</v>
      </c>
      <c r="C39" s="12" t="d">
        <v>2026-04-04</v>
      </c>
      <c r="D39" s="6">
        <v>4.5</v>
      </c>
      <c r="E39" s="6">
        <v>6</v>
      </c>
      <c r="F39" s="6">
        <v>4</v>
      </c>
      <c r="G39" s="6">
        <v>4</v>
      </c>
      <c r="H39" s="6">
        <v>1</v>
      </c>
    </row>
    <row r="40" spans="1:8" x14ac:dyDescent="0.3">
      <c r="A40" s="6">
        <v>39</v>
      </c>
      <c r="B40" s="6">
        <v>109</v>
      </c>
      <c r="C40" s="12" t="d">
        <v>2026-04-04</v>
      </c>
      <c r="D40" s="6">
        <v>5</v>
      </c>
      <c r="E40" s="6">
        <v>6</v>
      </c>
      <c r="F40" s="6">
        <v>5</v>
      </c>
      <c r="G40" s="6">
        <v>5</v>
      </c>
      <c r="H40" s="6">
        <v>2</v>
      </c>
    </row>
    <row r="41" spans="1:8" x14ac:dyDescent="0.3">
      <c r="A41" s="6">
        <v>40</v>
      </c>
      <c r="B41" s="6">
        <v>110</v>
      </c>
      <c r="C41" s="12" t="d">
        <v>2026-04-04</v>
      </c>
      <c r="D41" s="6">
        <v>8</v>
      </c>
      <c r="E41" s="6">
        <v>2</v>
      </c>
      <c r="F41" s="6">
        <v>8</v>
      </c>
      <c r="G41" s="6">
        <v>8</v>
      </c>
      <c r="H41" s="6">
        <v>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4E731-7E83-477A-AC4E-64D94E5D4419}">
  <dimension ref="A1:O41"/>
  <sheetViews>
    <sheetView zoomScale="170" workbookViewId="0">
      <selection activeCell="C1" sqref="C1:C1048576"/>
    </sheetView>
  </sheetViews>
  <sheetFormatPr defaultRowHeight="14.4" x14ac:dyDescent="0.3"/>
  <cols>
    <col min="1" max="1" width="8.88671875" style="4"/>
    <col min="2" max="2" width="11.88671875" style="4" customWidth="1"/>
    <col min="3" max="3" width="11" style="11" bestFit="1" customWidth="1"/>
    <col min="4" max="4" width="13.21875" style="5" customWidth="1"/>
    <col min="5" max="5" width="8.88671875" style="4"/>
    <col min="6" max="6" width="16.77734375" style="2" bestFit="1" customWidth="1"/>
    <col min="7" max="7" width="15.5546875" bestFit="1" customWidth="1"/>
    <col min="8" max="8" width="15.33203125" bestFit="1" customWidth="1"/>
    <col min="9" max="9" width="13" bestFit="1" customWidth="1"/>
    <col min="10" max="10" width="13" customWidth="1"/>
    <col min="11" max="11" width="12.5546875" bestFit="1" customWidth="1"/>
    <col min="12" max="12" width="12.33203125" bestFit="1" customWidth="1"/>
    <col min="13" max="13" width="12.6640625" bestFit="1" customWidth="1"/>
    <col min="14" max="14" width="13.5546875" bestFit="1" customWidth="1"/>
    <col min="15" max="15" width="12.33203125" bestFit="1" customWidth="1"/>
  </cols>
  <sheetData>
    <row r="1" spans="1:15" x14ac:dyDescent="0.3">
      <c r="A1" s="4" t="s">
        <v>5</v>
      </c>
      <c r="B1" s="4" t="s">
        <v>0</v>
      </c>
      <c r="C1" s="11" t="s">
        <v>6</v>
      </c>
      <c r="D1" s="5" t="s">
        <v>19</v>
      </c>
      <c r="E1" s="4" t="s">
        <v>20</v>
      </c>
      <c r="F1" s="2" t="s">
        <v>21</v>
      </c>
      <c r="G1" t="s">
        <v>61</v>
      </c>
      <c r="H1" t="s">
        <v>9</v>
      </c>
      <c r="I1" t="s">
        <v>13</v>
      </c>
      <c r="J1" t="s">
        <v>12</v>
      </c>
      <c r="K1" t="s">
        <v>14</v>
      </c>
      <c r="L1" t="s">
        <v>15</v>
      </c>
      <c r="M1" t="s">
        <v>16</v>
      </c>
      <c r="N1" t="s">
        <v>18</v>
      </c>
      <c r="O1" t="s">
        <v>28</v>
      </c>
    </row>
    <row r="2" spans="1:15" x14ac:dyDescent="0.3">
      <c r="A2" s="6">
        <v>1</v>
      </c>
      <c r="B2" s="6">
        <v>101</v>
      </c>
      <c r="C2" s="12" t="d">
        <v>2026-04-01</v>
      </c>
      <c r="D2" s="8">
        <f>MIN(100,MAX(0,(G2*4)+(H2*2)+(L2*5)-(K2*3)-(M2*4)-(I2*2)-(N2*2)+(J2*2)+O2))</f>
        <v>0</v>
      </c>
      <c r="E2" s="6">
        <f>IF(D2&lt;=30,1,IF(D2&lt;=50,2,IF(D2&lt;=80,3,4)))</f>
        <v>1</v>
      </c>
      <c r="F2" s="6" t="str">
        <f>IF(L2&gt;=8,"High stress",IF(G2&gt;=3,"Overtime",IF(H2&gt;=8,"Meeting overload",IF(J2&gt;=8,"Task backlog",IF(K2&lt;5,"Low recovery","Balanced workload")))))</f>
        <v>Balanced workload</v>
      </c>
      <c r="G2" s="6" cm="1">
        <f t="array" ref="G2">_xlfn.XLOOKUP(BurnoutScores[[#This Row],[EmployeeID]]&amp;BurnoutScores[[#This Row],[Date]],DailyWorkMetrics[EmployeeID]&amp;DailyWorkMetrics[Date],DailyWorkMetrics[Overtime])</f>
        <v>0</v>
      </c>
      <c r="H2" s="6" cm="1">
        <f t="array" ref="H2">_xlfn.XLOOKUP(BurnoutScores[[#This Row],[EmployeeID]]&amp;BurnoutScores[[#This Row],[Date]],DailyWorkMetrics[EmployeeID]&amp;DailyWorkMetrics[Date],DailyWorkMetrics[MeetingsCount])</f>
        <v>3</v>
      </c>
      <c r="I2" s="6" cm="1">
        <f t="array" ref="I2">_xlfn.XLOOKUP(BurnoutScores[[#This Row],[EmployeeID]]&amp;BurnoutScores[[#This Row],[Date]],DailyWorkMetrics[EmployeeID]&amp;DailyWorkMetrics[Date],DailyWorkMetrics[FocusHours])</f>
        <v>4.5</v>
      </c>
      <c r="J2" s="6" cm="1">
        <f t="array" ref="J2">_xlfn.XLOOKUP(BurnoutScores[[#This Row],[EmployeeID]]&amp;BurnoutScores[[#This Row],[Date]],DailyWorkMetrics[EmployeeID]&amp;DailyWorkMetrics[Date],DailyWorkMetrics[TasksPending])</f>
        <v>2</v>
      </c>
      <c r="K2" s="6" cm="1">
        <f t="array" ref="K2">_xlfn.XLOOKUP(BurnoutScores[[#This Row],[EmployeeID]]&amp;BurnoutScores[[#This Row],[Date]],WellbeingMetrics[EmployeeID]&amp;WellbeingMetrics[Date],WellbeingMetrics[SleepHours])</f>
        <v>7</v>
      </c>
      <c r="L2" s="6" cm="1">
        <f t="array" ref="L2">_xlfn.XLOOKUP(BurnoutScores[[#This Row],[EmployeeID]]&amp;BurnoutScores[[#This Row],[Date]],WellbeingMetrics[EmployeeID]&amp;WellbeingMetrics[Date],WellbeingMetrics[StressLevel])</f>
        <v>5</v>
      </c>
      <c r="M2" s="6" cm="1">
        <f t="array" ref="M2">_xlfn.XLOOKUP(BurnoutScores[[#This Row],[EmployeeID]]&amp;BurnoutScores[[#This Row],[Date]],WellbeingMetrics[EmployeeID]&amp;WellbeingMetrics[Date],WellbeingMetrics[EnergyLevel])</f>
        <v>7</v>
      </c>
      <c r="N2" s="6" cm="1">
        <f t="array" ref="N2">_xlfn.XLOOKUP(BurnoutScores[[#This Row],[EmployeeID]]&amp;BurnoutScores[[#This Row],[Date]],WellbeingMetrics[EmployeeID]&amp;WellbeingMetrics[Date],WellbeingMetrics[BreaksTaken])</f>
        <v>3</v>
      </c>
      <c r="O2" s="6">
        <f>_xlfn.XLOOKUP(_xlfn.XLOOKUP(BurnoutScores[[#This Row],[EmployeeID]],Employees[EmployeeID],Employees[WorkModeID]),WorkMode[ID],WorkMode[Adjustment])</f>
        <v>-3</v>
      </c>
    </row>
    <row r="3" spans="1:15" x14ac:dyDescent="0.3">
      <c r="A3" s="6">
        <v>2</v>
      </c>
      <c r="B3" s="6">
        <v>102</v>
      </c>
      <c r="C3" s="12" t="d">
        <v>2026-04-01</v>
      </c>
      <c r="D3" s="8">
        <f t="shared" ref="D3:D21" si="0">MIN(100,MAX(0,(G3*4)+(H3*2)+(L3*5)-(K3*3)-(M3*4)-(I3*2)-(N3*2)+(J3*2)+O3))</f>
        <v>0</v>
      </c>
      <c r="E3" s="6">
        <f t="shared" ref="E3:E21" si="1">IF(D3&lt;=30,1,IF(D3&lt;=50,2,IF(D3&lt;=80,3,4)))</f>
        <v>1</v>
      </c>
      <c r="F3" s="6" t="str">
        <f t="shared" ref="F3:F21" si="2">IF(L3&gt;=8,"High stress",IF(G3&gt;=3,"Overtime",IF(H3&gt;=8,"Meeting overload",IF(J3&gt;=8,"Task backlog",IF(K3&lt;5,"Low recovery","Balanced workload")))))</f>
        <v>Balanced workload</v>
      </c>
      <c r="G3" s="6" cm="1">
        <f t="array" ref="G3">_xlfn.XLOOKUP(BurnoutScores[[#This Row],[EmployeeID]]&amp;BurnoutScores[[#This Row],[Date]],DailyWorkMetrics[EmployeeID]&amp;DailyWorkMetrics[Date],DailyWorkMetrics[Overtime])</f>
        <v>0</v>
      </c>
      <c r="H3" s="6" cm="1">
        <f t="array" ref="H3">_xlfn.XLOOKUP(BurnoutScores[[#This Row],[EmployeeID]]&amp;BurnoutScores[[#This Row],[Date]],DailyWorkMetrics[EmployeeID]&amp;DailyWorkMetrics[Date],DailyWorkMetrics[MeetingsCount])</f>
        <v>2</v>
      </c>
      <c r="I3" s="6" cm="1">
        <f t="array" ref="I3">_xlfn.XLOOKUP(BurnoutScores[[#This Row],[EmployeeID]]&amp;BurnoutScores[[#This Row],[Date]],DailyWorkMetrics[EmployeeID]&amp;DailyWorkMetrics[Date],DailyWorkMetrics[FocusHours])</f>
        <v>5</v>
      </c>
      <c r="J3" s="6" cm="1">
        <f t="array" ref="J3">_xlfn.XLOOKUP(BurnoutScores[[#This Row],[EmployeeID]]&amp;BurnoutScores[[#This Row],[Date]],DailyWorkMetrics[EmployeeID]&amp;DailyWorkMetrics[Date],DailyWorkMetrics[TasksPending])</f>
        <v>1</v>
      </c>
      <c r="K3" s="6" cm="1">
        <f t="array" ref="K3">_xlfn.XLOOKUP(BurnoutScores[[#This Row],[EmployeeID]]&amp;BurnoutScores[[#This Row],[Date]],WellbeingMetrics[EmployeeID]&amp;WellbeingMetrics[Date],WellbeingMetrics[SleepHours])</f>
        <v>7.5</v>
      </c>
      <c r="L3" s="6" cm="1">
        <f t="array" ref="L3">_xlfn.XLOOKUP(BurnoutScores[[#This Row],[EmployeeID]]&amp;BurnoutScores[[#This Row],[Date]],WellbeingMetrics[EmployeeID]&amp;WellbeingMetrics[Date],WellbeingMetrics[StressLevel])</f>
        <v>3</v>
      </c>
      <c r="M3" s="6" cm="1">
        <f t="array" ref="M3">_xlfn.XLOOKUP(BurnoutScores[[#This Row],[EmployeeID]]&amp;BurnoutScores[[#This Row],[Date]],WellbeingMetrics[EmployeeID]&amp;WellbeingMetrics[Date],WellbeingMetrics[EnergyLevel])</f>
        <v>8</v>
      </c>
      <c r="N3" s="6" cm="1">
        <f t="array" ref="N3">_xlfn.XLOOKUP(BurnoutScores[[#This Row],[EmployeeID]]&amp;BurnoutScores[[#This Row],[Date]],WellbeingMetrics[EmployeeID]&amp;WellbeingMetrics[Date],WellbeingMetrics[BreaksTaken])</f>
        <v>4</v>
      </c>
      <c r="O3" s="6">
        <f>_xlfn.XLOOKUP(_xlfn.XLOOKUP(BurnoutScores[[#This Row],[EmployeeID]],Employees[EmployeeID],Employees[WorkModeID]),WorkMode[ID],WorkMode[Adjustment])</f>
        <v>2</v>
      </c>
    </row>
    <row r="4" spans="1:15" x14ac:dyDescent="0.3">
      <c r="A4" s="6">
        <v>3</v>
      </c>
      <c r="B4" s="6">
        <v>103</v>
      </c>
      <c r="C4" s="12" t="d">
        <v>2026-04-01</v>
      </c>
      <c r="D4" s="8">
        <f t="shared" si="0"/>
        <v>76.5</v>
      </c>
      <c r="E4" s="6">
        <f t="shared" si="1"/>
        <v>3</v>
      </c>
      <c r="F4" s="6" t="str">
        <f t="shared" si="2"/>
        <v>High stress</v>
      </c>
      <c r="G4" s="6" cm="1">
        <f t="array" ref="G4">_xlfn.XLOOKUP(BurnoutScores[[#This Row],[EmployeeID]]&amp;BurnoutScores[[#This Row],[Date]],DailyWorkMetrics[EmployeeID]&amp;DailyWorkMetrics[Date],DailyWorkMetrics[Overtime])</f>
        <v>3</v>
      </c>
      <c r="H4" s="6" cm="1">
        <f t="array" ref="H4">_xlfn.XLOOKUP(BurnoutScores[[#This Row],[EmployeeID]]&amp;BurnoutScores[[#This Row],[Date]],DailyWorkMetrics[EmployeeID]&amp;DailyWorkMetrics[Date],DailyWorkMetrics[MeetingsCount])</f>
        <v>9</v>
      </c>
      <c r="I4" s="6" cm="1">
        <f t="array" ref="I4">_xlfn.XLOOKUP(BurnoutScores[[#This Row],[EmployeeID]]&amp;BurnoutScores[[#This Row],[Date]],DailyWorkMetrics[EmployeeID]&amp;DailyWorkMetrics[Date],DailyWorkMetrics[FocusHours])</f>
        <v>1</v>
      </c>
      <c r="J4" s="6" cm="1">
        <f t="array" ref="J4">_xlfn.XLOOKUP(BurnoutScores[[#This Row],[EmployeeID]]&amp;BurnoutScores[[#This Row],[Date]],DailyWorkMetrics[EmployeeID]&amp;DailyWorkMetrics[Date],DailyWorkMetrics[TasksPending])</f>
        <v>10</v>
      </c>
      <c r="K4" s="6" cm="1">
        <f t="array" ref="K4">_xlfn.XLOOKUP(BurnoutScores[[#This Row],[EmployeeID]]&amp;BurnoutScores[[#This Row],[Date]],WellbeingMetrics[EmployeeID]&amp;WellbeingMetrics[Date],WellbeingMetrics[SleepHours])</f>
        <v>4.5</v>
      </c>
      <c r="L4" s="6" cm="1">
        <f t="array" ref="L4">_xlfn.XLOOKUP(BurnoutScores[[#This Row],[EmployeeID]]&amp;BurnoutScores[[#This Row],[Date]],WellbeingMetrics[EmployeeID]&amp;WellbeingMetrics[Date],WellbeingMetrics[StressLevel])</f>
        <v>9</v>
      </c>
      <c r="M4" s="6" cm="1">
        <f t="array" ref="M4">_xlfn.XLOOKUP(BurnoutScores[[#This Row],[EmployeeID]]&amp;BurnoutScores[[#This Row],[Date]],WellbeingMetrics[EmployeeID]&amp;WellbeingMetrics[Date],WellbeingMetrics[EnergyLevel])</f>
        <v>2</v>
      </c>
      <c r="N4" s="6" cm="1">
        <f t="array" ref="N4">_xlfn.XLOOKUP(BurnoutScores[[#This Row],[EmployeeID]]&amp;BurnoutScores[[#This Row],[Date]],WellbeingMetrics[EmployeeID]&amp;WellbeingMetrics[Date],WellbeingMetrics[BreaksTaken])</f>
        <v>0</v>
      </c>
      <c r="O4" s="6">
        <f>_xlfn.XLOOKUP(_xlfn.XLOOKUP(BurnoutScores[[#This Row],[EmployeeID]],Employees[EmployeeID],Employees[WorkModeID]),WorkMode[ID],WorkMode[Adjustment])</f>
        <v>5</v>
      </c>
    </row>
    <row r="5" spans="1:15" x14ac:dyDescent="0.3">
      <c r="A5" s="6">
        <v>4</v>
      </c>
      <c r="B5" s="6">
        <v>104</v>
      </c>
      <c r="C5" s="12" t="d">
        <v>2026-04-01</v>
      </c>
      <c r="D5" s="8">
        <f t="shared" si="0"/>
        <v>0</v>
      </c>
      <c r="E5" s="6">
        <f t="shared" si="1"/>
        <v>1</v>
      </c>
      <c r="F5" s="6" t="str">
        <f t="shared" si="2"/>
        <v>Balanced workload</v>
      </c>
      <c r="G5" s="6" cm="1">
        <f t="array" ref="G5">_xlfn.XLOOKUP(BurnoutScores[[#This Row],[EmployeeID]]&amp;BurnoutScores[[#This Row],[Date]],DailyWorkMetrics[EmployeeID]&amp;DailyWorkMetrics[Date],DailyWorkMetrics[Overtime])</f>
        <v>0.5</v>
      </c>
      <c r="H5" s="6" cm="1">
        <f t="array" ref="H5">_xlfn.XLOOKUP(BurnoutScores[[#This Row],[EmployeeID]]&amp;BurnoutScores[[#This Row],[Date]],DailyWorkMetrics[EmployeeID]&amp;DailyWorkMetrics[Date],DailyWorkMetrics[MeetingsCount])</f>
        <v>5</v>
      </c>
      <c r="I5" s="6" cm="1">
        <f t="array" ref="I5">_xlfn.XLOOKUP(BurnoutScores[[#This Row],[EmployeeID]]&amp;BurnoutScores[[#This Row],[Date]],DailyWorkMetrics[EmployeeID]&amp;DailyWorkMetrics[Date],DailyWorkMetrics[FocusHours])</f>
        <v>3</v>
      </c>
      <c r="J5" s="6" cm="1">
        <f t="array" ref="J5">_xlfn.XLOOKUP(BurnoutScores[[#This Row],[EmployeeID]]&amp;BurnoutScores[[#This Row],[Date]],DailyWorkMetrics[EmployeeID]&amp;DailyWorkMetrics[Date],DailyWorkMetrics[TasksPending])</f>
        <v>4</v>
      </c>
      <c r="K5" s="6" cm="1">
        <f t="array" ref="K5">_xlfn.XLOOKUP(BurnoutScores[[#This Row],[EmployeeID]]&amp;BurnoutScores[[#This Row],[Date]],WellbeingMetrics[EmployeeID]&amp;WellbeingMetrics[Date],WellbeingMetrics[SleepHours])</f>
        <v>6.5</v>
      </c>
      <c r="L5" s="6" cm="1">
        <f t="array" ref="L5">_xlfn.XLOOKUP(BurnoutScores[[#This Row],[EmployeeID]]&amp;BurnoutScores[[#This Row],[Date]],WellbeingMetrics[EmployeeID]&amp;WellbeingMetrics[Date],WellbeingMetrics[StressLevel])</f>
        <v>6</v>
      </c>
      <c r="M5" s="6" cm="1">
        <f t="array" ref="M5">_xlfn.XLOOKUP(BurnoutScores[[#This Row],[EmployeeID]]&amp;BurnoutScores[[#This Row],[Date]],WellbeingMetrics[EmployeeID]&amp;WellbeingMetrics[Date],WellbeingMetrics[EnergyLevel])</f>
        <v>6</v>
      </c>
      <c r="N5" s="6" cm="1">
        <f t="array" ref="N5">_xlfn.XLOOKUP(BurnoutScores[[#This Row],[EmployeeID]]&amp;BurnoutScores[[#This Row],[Date]],WellbeingMetrics[EmployeeID]&amp;WellbeingMetrics[Date],WellbeingMetrics[BreaksTaken])</f>
        <v>2</v>
      </c>
      <c r="O5" s="6">
        <f>_xlfn.XLOOKUP(_xlfn.XLOOKUP(BurnoutScores[[#This Row],[EmployeeID]],Employees[EmployeeID],Employees[WorkModeID]),WorkMode[ID],WorkMode[Adjustment])</f>
        <v>-3</v>
      </c>
    </row>
    <row r="6" spans="1:15" x14ac:dyDescent="0.3">
      <c r="A6" s="6">
        <v>5</v>
      </c>
      <c r="B6" s="6">
        <v>105</v>
      </c>
      <c r="C6" s="12" t="d">
        <v>2026-04-01</v>
      </c>
      <c r="D6" s="8">
        <f t="shared" si="0"/>
        <v>57</v>
      </c>
      <c r="E6" s="6">
        <f t="shared" si="1"/>
        <v>3</v>
      </c>
      <c r="F6" s="6" t="str">
        <f t="shared" si="2"/>
        <v>High stress</v>
      </c>
      <c r="G6" s="6" cm="1">
        <f t="array" ref="G6">_xlfn.XLOOKUP(BurnoutScores[[#This Row],[EmployeeID]]&amp;BurnoutScores[[#This Row],[Date]],DailyWorkMetrics[EmployeeID]&amp;DailyWorkMetrics[Date],DailyWorkMetrics[Overtime])</f>
        <v>2.5</v>
      </c>
      <c r="H6" s="6" cm="1">
        <f t="array" ref="H6">_xlfn.XLOOKUP(BurnoutScores[[#This Row],[EmployeeID]]&amp;BurnoutScores[[#This Row],[Date]],DailyWorkMetrics[EmployeeID]&amp;DailyWorkMetrics[Date],DailyWorkMetrics[MeetingsCount])</f>
        <v>8</v>
      </c>
      <c r="I6" s="6" cm="1">
        <f t="array" ref="I6">_xlfn.XLOOKUP(BurnoutScores[[#This Row],[EmployeeID]]&amp;BurnoutScores[[#This Row],[Date]],DailyWorkMetrics[EmployeeID]&amp;DailyWorkMetrics[Date],DailyWorkMetrics[FocusHours])</f>
        <v>1.5</v>
      </c>
      <c r="J6" s="6" cm="1">
        <f t="array" ref="J6">_xlfn.XLOOKUP(BurnoutScores[[#This Row],[EmployeeID]]&amp;BurnoutScores[[#This Row],[Date]],DailyWorkMetrics[EmployeeID]&amp;DailyWorkMetrics[Date],DailyWorkMetrics[TasksPending])</f>
        <v>9</v>
      </c>
      <c r="K6" s="6" cm="1">
        <f t="array" ref="K6">_xlfn.XLOOKUP(BurnoutScores[[#This Row],[EmployeeID]]&amp;BurnoutScores[[#This Row],[Date]],WellbeingMetrics[EmployeeID]&amp;WellbeingMetrics[Date],WellbeingMetrics[SleepHours])</f>
        <v>5</v>
      </c>
      <c r="L6" s="6" cm="1">
        <f t="array" ref="L6">_xlfn.XLOOKUP(BurnoutScores[[#This Row],[EmployeeID]]&amp;BurnoutScores[[#This Row],[Date]],WellbeingMetrics[EmployeeID]&amp;WellbeingMetrics[Date],WellbeingMetrics[StressLevel])</f>
        <v>8</v>
      </c>
      <c r="M6" s="6" cm="1">
        <f t="array" ref="M6">_xlfn.XLOOKUP(BurnoutScores[[#This Row],[EmployeeID]]&amp;BurnoutScores[[#This Row],[Date]],WellbeingMetrics[EmployeeID]&amp;WellbeingMetrics[Date],WellbeingMetrics[EnergyLevel])</f>
        <v>3</v>
      </c>
      <c r="N6" s="6" cm="1">
        <f t="array" ref="N6">_xlfn.XLOOKUP(BurnoutScores[[#This Row],[EmployeeID]]&amp;BurnoutScores[[#This Row],[Date]],WellbeingMetrics[EmployeeID]&amp;WellbeingMetrics[Date],WellbeingMetrics[BreaksTaken])</f>
        <v>1</v>
      </c>
      <c r="O6" s="6">
        <f>_xlfn.XLOOKUP(_xlfn.XLOOKUP(BurnoutScores[[#This Row],[EmployeeID]],Employees[EmployeeID],Employees[WorkModeID]),WorkMode[ID],WorkMode[Adjustment])</f>
        <v>5</v>
      </c>
    </row>
    <row r="7" spans="1:15" x14ac:dyDescent="0.3">
      <c r="A7" s="6">
        <v>6</v>
      </c>
      <c r="B7" s="6">
        <v>106</v>
      </c>
      <c r="C7" s="12" t="d">
        <v>2026-04-01</v>
      </c>
      <c r="D7" s="8">
        <f t="shared" si="0"/>
        <v>0</v>
      </c>
      <c r="E7" s="6">
        <f t="shared" si="1"/>
        <v>1</v>
      </c>
      <c r="F7" s="6" t="str">
        <f t="shared" si="2"/>
        <v>Balanced workload</v>
      </c>
      <c r="G7" s="6" cm="1">
        <f t="array" ref="G7">_xlfn.XLOOKUP(BurnoutScores[[#This Row],[EmployeeID]]&amp;BurnoutScores[[#This Row],[Date]],DailyWorkMetrics[EmployeeID]&amp;DailyWorkMetrics[Date],DailyWorkMetrics[Overtime])</f>
        <v>0</v>
      </c>
      <c r="H7" s="6" cm="1">
        <f t="array" ref="H7">_xlfn.XLOOKUP(BurnoutScores[[#This Row],[EmployeeID]]&amp;BurnoutScores[[#This Row],[Date]],DailyWorkMetrics[EmployeeID]&amp;DailyWorkMetrics[Date],DailyWorkMetrics[MeetingsCount])</f>
        <v>4</v>
      </c>
      <c r="I7" s="6" cm="1">
        <f t="array" ref="I7">_xlfn.XLOOKUP(BurnoutScores[[#This Row],[EmployeeID]]&amp;BurnoutScores[[#This Row],[Date]],DailyWorkMetrics[EmployeeID]&amp;DailyWorkMetrics[Date],DailyWorkMetrics[FocusHours])</f>
        <v>3.5</v>
      </c>
      <c r="J7" s="6" cm="1">
        <f t="array" ref="J7">_xlfn.XLOOKUP(BurnoutScores[[#This Row],[EmployeeID]]&amp;BurnoutScores[[#This Row],[Date]],DailyWorkMetrics[EmployeeID]&amp;DailyWorkMetrics[Date],DailyWorkMetrics[TasksPending])</f>
        <v>3</v>
      </c>
      <c r="K7" s="6" cm="1">
        <f t="array" ref="K7">_xlfn.XLOOKUP(BurnoutScores[[#This Row],[EmployeeID]]&amp;BurnoutScores[[#This Row],[Date]],WellbeingMetrics[EmployeeID]&amp;WellbeingMetrics[Date],WellbeingMetrics[SleepHours])</f>
        <v>6</v>
      </c>
      <c r="L7" s="6" cm="1">
        <f t="array" ref="L7">_xlfn.XLOOKUP(BurnoutScores[[#This Row],[EmployeeID]]&amp;BurnoutScores[[#This Row],[Date]],WellbeingMetrics[EmployeeID]&amp;WellbeingMetrics[Date],WellbeingMetrics[StressLevel])</f>
        <v>5</v>
      </c>
      <c r="M7" s="6" cm="1">
        <f t="array" ref="M7">_xlfn.XLOOKUP(BurnoutScores[[#This Row],[EmployeeID]]&amp;BurnoutScores[[#This Row],[Date]],WellbeingMetrics[EmployeeID]&amp;WellbeingMetrics[Date],WellbeingMetrics[EnergyLevel])</f>
        <v>6</v>
      </c>
      <c r="N7" s="6" cm="1">
        <f t="array" ref="N7">_xlfn.XLOOKUP(BurnoutScores[[#This Row],[EmployeeID]]&amp;BurnoutScores[[#This Row],[Date]],WellbeingMetrics[EmployeeID]&amp;WellbeingMetrics[Date],WellbeingMetrics[BreaksTaken])</f>
        <v>3</v>
      </c>
      <c r="O7" s="6">
        <f>_xlfn.XLOOKUP(_xlfn.XLOOKUP(BurnoutScores[[#This Row],[EmployeeID]],Employees[EmployeeID],Employees[WorkModeID]),WorkMode[ID],WorkMode[Adjustment])</f>
        <v>2</v>
      </c>
    </row>
    <row r="8" spans="1:15" x14ac:dyDescent="0.3">
      <c r="A8" s="6">
        <v>7</v>
      </c>
      <c r="B8" s="6">
        <v>107</v>
      </c>
      <c r="C8" s="12" t="d">
        <v>2026-04-01</v>
      </c>
      <c r="D8" s="8">
        <f t="shared" si="0"/>
        <v>21.5</v>
      </c>
      <c r="E8" s="6">
        <f t="shared" si="1"/>
        <v>1</v>
      </c>
      <c r="F8" s="6" t="str">
        <f t="shared" si="2"/>
        <v>Balanced workload</v>
      </c>
      <c r="G8" s="6" cm="1">
        <f t="array" ref="G8">_xlfn.XLOOKUP(BurnoutScores[[#This Row],[EmployeeID]]&amp;BurnoutScores[[#This Row],[Date]],DailyWorkMetrics[EmployeeID]&amp;DailyWorkMetrics[Date],DailyWorkMetrics[Overtime])</f>
        <v>1</v>
      </c>
      <c r="H8" s="6" cm="1">
        <f t="array" ref="H8">_xlfn.XLOOKUP(BurnoutScores[[#This Row],[EmployeeID]]&amp;BurnoutScores[[#This Row],[Date]],DailyWorkMetrics[EmployeeID]&amp;DailyWorkMetrics[Date],DailyWorkMetrics[MeetingsCount])</f>
        <v>6</v>
      </c>
      <c r="I8" s="6" cm="1">
        <f t="array" ref="I8">_xlfn.XLOOKUP(BurnoutScores[[#This Row],[EmployeeID]]&amp;BurnoutScores[[#This Row],[Date]],DailyWorkMetrics[EmployeeID]&amp;DailyWorkMetrics[Date],DailyWorkMetrics[FocusHours])</f>
        <v>2</v>
      </c>
      <c r="J8" s="6" cm="1">
        <f t="array" ref="J8">_xlfn.XLOOKUP(BurnoutScores[[#This Row],[EmployeeID]]&amp;BurnoutScores[[#This Row],[Date]],DailyWorkMetrics[EmployeeID]&amp;DailyWorkMetrics[Date],DailyWorkMetrics[TasksPending])</f>
        <v>6</v>
      </c>
      <c r="K8" s="6" cm="1">
        <f t="array" ref="K8">_xlfn.XLOOKUP(BurnoutScores[[#This Row],[EmployeeID]]&amp;BurnoutScores[[#This Row],[Date]],WellbeingMetrics[EmployeeID]&amp;WellbeingMetrics[Date],WellbeingMetrics[SleepHours])</f>
        <v>5.5</v>
      </c>
      <c r="L8" s="6" cm="1">
        <f t="array" ref="L8">_xlfn.XLOOKUP(BurnoutScores[[#This Row],[EmployeeID]]&amp;BurnoutScores[[#This Row],[Date]],WellbeingMetrics[EmployeeID]&amp;WellbeingMetrics[Date],WellbeingMetrics[StressLevel])</f>
        <v>7</v>
      </c>
      <c r="M8" s="6" cm="1">
        <f t="array" ref="M8">_xlfn.XLOOKUP(BurnoutScores[[#This Row],[EmployeeID]]&amp;BurnoutScores[[#This Row],[Date]],WellbeingMetrics[EmployeeID]&amp;WellbeingMetrics[Date],WellbeingMetrics[EnergyLevel])</f>
        <v>4</v>
      </c>
      <c r="N8" s="6" cm="1">
        <f t="array" ref="N8">_xlfn.XLOOKUP(BurnoutScores[[#This Row],[EmployeeID]]&amp;BurnoutScores[[#This Row],[Date]],WellbeingMetrics[EmployeeID]&amp;WellbeingMetrics[Date],WellbeingMetrics[BreaksTaken])</f>
        <v>1</v>
      </c>
      <c r="O8" s="6">
        <f>_xlfn.XLOOKUP(_xlfn.XLOOKUP(BurnoutScores[[#This Row],[EmployeeID]],Employees[EmployeeID],Employees[WorkModeID]),WorkMode[ID],WorkMode[Adjustment])</f>
        <v>-3</v>
      </c>
    </row>
    <row r="9" spans="1:15" x14ac:dyDescent="0.3">
      <c r="A9" s="6">
        <v>8</v>
      </c>
      <c r="B9" s="6">
        <v>108</v>
      </c>
      <c r="C9" s="12" t="d">
        <v>2026-04-01</v>
      </c>
      <c r="D9" s="8">
        <f t="shared" si="0"/>
        <v>100</v>
      </c>
      <c r="E9" s="6">
        <f t="shared" si="1"/>
        <v>4</v>
      </c>
      <c r="F9" s="6" t="str">
        <f t="shared" si="2"/>
        <v>High stress</v>
      </c>
      <c r="G9" s="6" cm="1">
        <f t="array" ref="G9">_xlfn.XLOOKUP(BurnoutScores[[#This Row],[EmployeeID]]&amp;BurnoutScores[[#This Row],[Date]],DailyWorkMetrics[EmployeeID]&amp;DailyWorkMetrics[Date],DailyWorkMetrics[Overtime])</f>
        <v>4</v>
      </c>
      <c r="H9" s="6" cm="1">
        <f t="array" ref="H9">_xlfn.XLOOKUP(BurnoutScores[[#This Row],[EmployeeID]]&amp;BurnoutScores[[#This Row],[Date]],DailyWorkMetrics[EmployeeID]&amp;DailyWorkMetrics[Date],DailyWorkMetrics[MeetingsCount])</f>
        <v>10</v>
      </c>
      <c r="I9" s="6" cm="1">
        <f t="array" ref="I9">_xlfn.XLOOKUP(BurnoutScores[[#This Row],[EmployeeID]]&amp;BurnoutScores[[#This Row],[Date]],DailyWorkMetrics[EmployeeID]&amp;DailyWorkMetrics[Date],DailyWorkMetrics[FocusHours])</f>
        <v>0.5</v>
      </c>
      <c r="J9" s="6" cm="1">
        <f t="array" ref="J9">_xlfn.XLOOKUP(BurnoutScores[[#This Row],[EmployeeID]]&amp;BurnoutScores[[#This Row],[Date]],DailyWorkMetrics[EmployeeID]&amp;DailyWorkMetrics[Date],DailyWorkMetrics[TasksPending])</f>
        <v>12</v>
      </c>
      <c r="K9" s="6" cm="1">
        <f t="array" ref="K9">_xlfn.XLOOKUP(BurnoutScores[[#This Row],[EmployeeID]]&amp;BurnoutScores[[#This Row],[Date]],WellbeingMetrics[EmployeeID]&amp;WellbeingMetrics[Date],WellbeingMetrics[SleepHours])</f>
        <v>3</v>
      </c>
      <c r="L9" s="6" cm="1">
        <f t="array" ref="L9">_xlfn.XLOOKUP(BurnoutScores[[#This Row],[EmployeeID]]&amp;BurnoutScores[[#This Row],[Date]],WellbeingMetrics[EmployeeID]&amp;WellbeingMetrics[Date],WellbeingMetrics[StressLevel])</f>
        <v>10</v>
      </c>
      <c r="M9" s="6" cm="1">
        <f t="array" ref="M9">_xlfn.XLOOKUP(BurnoutScores[[#This Row],[EmployeeID]]&amp;BurnoutScores[[#This Row],[Date]],WellbeingMetrics[EmployeeID]&amp;WellbeingMetrics[Date],WellbeingMetrics[EnergyLevel])</f>
        <v>1</v>
      </c>
      <c r="N9" s="6" cm="1">
        <f t="array" ref="N9">_xlfn.XLOOKUP(BurnoutScores[[#This Row],[EmployeeID]]&amp;BurnoutScores[[#This Row],[Date]],WellbeingMetrics[EmployeeID]&amp;WellbeingMetrics[Date],WellbeingMetrics[BreaksTaken])</f>
        <v>0</v>
      </c>
      <c r="O9" s="6">
        <f>_xlfn.XLOOKUP(_xlfn.XLOOKUP(BurnoutScores[[#This Row],[EmployeeID]],Employees[EmployeeID],Employees[WorkModeID]),WorkMode[ID],WorkMode[Adjustment])</f>
        <v>5</v>
      </c>
    </row>
    <row r="10" spans="1:15" x14ac:dyDescent="0.3">
      <c r="A10" s="6">
        <v>9</v>
      </c>
      <c r="B10" s="6">
        <v>109</v>
      </c>
      <c r="C10" s="12" t="d">
        <v>2026-04-01</v>
      </c>
      <c r="D10" s="8">
        <f t="shared" si="0"/>
        <v>0</v>
      </c>
      <c r="E10" s="6">
        <f t="shared" si="1"/>
        <v>1</v>
      </c>
      <c r="F10" s="6" t="str">
        <f t="shared" si="2"/>
        <v>Balanced workload</v>
      </c>
      <c r="G10" s="6" cm="1">
        <f t="array" ref="G10">_xlfn.XLOOKUP(BurnoutScores[[#This Row],[EmployeeID]]&amp;BurnoutScores[[#This Row],[Date]],DailyWorkMetrics[EmployeeID]&amp;DailyWorkMetrics[Date],DailyWorkMetrics[Overtime])</f>
        <v>0</v>
      </c>
      <c r="H10" s="6" cm="1">
        <f t="array" ref="H10">_xlfn.XLOOKUP(BurnoutScores[[#This Row],[EmployeeID]]&amp;BurnoutScores[[#This Row],[Date]],DailyWorkMetrics[EmployeeID]&amp;DailyWorkMetrics[Date],DailyWorkMetrics[MeetingsCount])</f>
        <v>1</v>
      </c>
      <c r="I10" s="6" cm="1">
        <f t="array" ref="I10">_xlfn.XLOOKUP(BurnoutScores[[#This Row],[EmployeeID]]&amp;BurnoutScores[[#This Row],[Date]],DailyWorkMetrics[EmployeeID]&amp;DailyWorkMetrics[Date],DailyWorkMetrics[FocusHours])</f>
        <v>5.5</v>
      </c>
      <c r="J10" s="6" cm="1">
        <f t="array" ref="J10">_xlfn.XLOOKUP(BurnoutScores[[#This Row],[EmployeeID]]&amp;BurnoutScores[[#This Row],[Date]],DailyWorkMetrics[EmployeeID]&amp;DailyWorkMetrics[Date],DailyWorkMetrics[TasksPending])</f>
        <v>1</v>
      </c>
      <c r="K10" s="6" cm="1">
        <f t="array" ref="K10">_xlfn.XLOOKUP(BurnoutScores[[#This Row],[EmployeeID]]&amp;BurnoutScores[[#This Row],[Date]],WellbeingMetrics[EmployeeID]&amp;WellbeingMetrics[Date],WellbeingMetrics[SleepHours])</f>
        <v>8</v>
      </c>
      <c r="L10" s="6" cm="1">
        <f t="array" ref="L10">_xlfn.XLOOKUP(BurnoutScores[[#This Row],[EmployeeID]]&amp;BurnoutScores[[#This Row],[Date]],WellbeingMetrics[EmployeeID]&amp;WellbeingMetrics[Date],WellbeingMetrics[StressLevel])</f>
        <v>2</v>
      </c>
      <c r="M10" s="6" cm="1">
        <f t="array" ref="M10">_xlfn.XLOOKUP(BurnoutScores[[#This Row],[EmployeeID]]&amp;BurnoutScores[[#This Row],[Date]],WellbeingMetrics[EmployeeID]&amp;WellbeingMetrics[Date],WellbeingMetrics[EnergyLevel])</f>
        <v>8</v>
      </c>
      <c r="N10" s="6" cm="1">
        <f t="array" ref="N10">_xlfn.XLOOKUP(BurnoutScores[[#This Row],[EmployeeID]]&amp;BurnoutScores[[#This Row],[Date]],WellbeingMetrics[EmployeeID]&amp;WellbeingMetrics[Date],WellbeingMetrics[BreaksTaken])</f>
        <v>4</v>
      </c>
      <c r="O10" s="6">
        <f>_xlfn.XLOOKUP(_xlfn.XLOOKUP(BurnoutScores[[#This Row],[EmployeeID]],Employees[EmployeeID],Employees[WorkModeID]),WorkMode[ID],WorkMode[Adjustment])</f>
        <v>2</v>
      </c>
    </row>
    <row r="11" spans="1:15" x14ac:dyDescent="0.3">
      <c r="A11" s="6">
        <v>10</v>
      </c>
      <c r="B11" s="6">
        <v>110</v>
      </c>
      <c r="C11" s="12" t="d">
        <v>2026-04-01</v>
      </c>
      <c r="D11" s="8">
        <f t="shared" si="0"/>
        <v>11</v>
      </c>
      <c r="E11" s="6">
        <f t="shared" si="1"/>
        <v>1</v>
      </c>
      <c r="F11" s="6" t="str">
        <f t="shared" si="2"/>
        <v>Balanced workload</v>
      </c>
      <c r="G11" s="6" cm="1">
        <f t="array" ref="G11">_xlfn.XLOOKUP(BurnoutScores[[#This Row],[EmployeeID]]&amp;BurnoutScores[[#This Row],[Date]],DailyWorkMetrics[EmployeeID]&amp;DailyWorkMetrics[Date],DailyWorkMetrics[Overtime])</f>
        <v>1.5</v>
      </c>
      <c r="H11" s="6" cm="1">
        <f t="array" ref="H11">_xlfn.XLOOKUP(BurnoutScores[[#This Row],[EmployeeID]]&amp;BurnoutScores[[#This Row],[Date]],DailyWorkMetrics[EmployeeID]&amp;DailyWorkMetrics[Date],DailyWorkMetrics[MeetingsCount])</f>
        <v>5</v>
      </c>
      <c r="I11" s="6" cm="1">
        <f t="array" ref="I11">_xlfn.XLOOKUP(BurnoutScores[[#This Row],[EmployeeID]]&amp;BurnoutScores[[#This Row],[Date]],DailyWorkMetrics[EmployeeID]&amp;DailyWorkMetrics[Date],DailyWorkMetrics[FocusHours])</f>
        <v>2.5</v>
      </c>
      <c r="J11" s="6" cm="1">
        <f t="array" ref="J11">_xlfn.XLOOKUP(BurnoutScores[[#This Row],[EmployeeID]]&amp;BurnoutScores[[#This Row],[Date]],DailyWorkMetrics[EmployeeID]&amp;DailyWorkMetrics[Date],DailyWorkMetrics[TasksPending])</f>
        <v>5</v>
      </c>
      <c r="K11" s="6" cm="1">
        <f t="array" ref="K11">_xlfn.XLOOKUP(BurnoutScores[[#This Row],[EmployeeID]]&amp;BurnoutScores[[#This Row],[Date]],WellbeingMetrics[EmployeeID]&amp;WellbeingMetrics[Date],WellbeingMetrics[SleepHours])</f>
        <v>6</v>
      </c>
      <c r="L11" s="6" cm="1">
        <f t="array" ref="L11">_xlfn.XLOOKUP(BurnoutScores[[#This Row],[EmployeeID]]&amp;BurnoutScores[[#This Row],[Date]],WellbeingMetrics[EmployeeID]&amp;WellbeingMetrics[Date],WellbeingMetrics[StressLevel])</f>
        <v>7</v>
      </c>
      <c r="M11" s="6" cm="1">
        <f t="array" ref="M11">_xlfn.XLOOKUP(BurnoutScores[[#This Row],[EmployeeID]]&amp;BurnoutScores[[#This Row],[Date]],WellbeingMetrics[EmployeeID]&amp;WellbeingMetrics[Date],WellbeingMetrics[EnergyLevel])</f>
        <v>5</v>
      </c>
      <c r="N11" s="6" cm="1">
        <f t="array" ref="N11">_xlfn.XLOOKUP(BurnoutScores[[#This Row],[EmployeeID]]&amp;BurnoutScores[[#This Row],[Date]],WellbeingMetrics[EmployeeID]&amp;WellbeingMetrics[Date],WellbeingMetrics[BreaksTaken])</f>
        <v>2</v>
      </c>
      <c r="O11" s="6">
        <f>_xlfn.XLOOKUP(_xlfn.XLOOKUP(BurnoutScores[[#This Row],[EmployeeID]],Employees[EmployeeID],Employees[WorkModeID]),WorkMode[ID],WorkMode[Adjustment])</f>
        <v>-3</v>
      </c>
    </row>
    <row r="12" spans="1:15" x14ac:dyDescent="0.3">
      <c r="A12" s="6">
        <v>11</v>
      </c>
      <c r="B12" s="6">
        <v>101</v>
      </c>
      <c r="C12" s="12" t="d">
        <v>2026-04-02</v>
      </c>
      <c r="D12" s="8">
        <f t="shared" si="0"/>
        <v>9</v>
      </c>
      <c r="E12" s="6">
        <f t="shared" si="1"/>
        <v>1</v>
      </c>
      <c r="F12" s="6" t="str">
        <f t="shared" si="2"/>
        <v>Balanced workload</v>
      </c>
      <c r="G12" s="6" cm="1">
        <f t="array" ref="G12">_xlfn.XLOOKUP(BurnoutScores[[#This Row],[EmployeeID]]&amp;BurnoutScores[[#This Row],[Date]],DailyWorkMetrics[EmployeeID]&amp;DailyWorkMetrics[Date],DailyWorkMetrics[Overtime])</f>
        <v>1</v>
      </c>
      <c r="H12" s="6" cm="1">
        <f t="array" ref="H12">_xlfn.XLOOKUP(BurnoutScores[[#This Row],[EmployeeID]]&amp;BurnoutScores[[#This Row],[Date]],DailyWorkMetrics[EmployeeID]&amp;DailyWorkMetrics[Date],DailyWorkMetrics[MeetingsCount])</f>
        <v>5</v>
      </c>
      <c r="I12" s="6" cm="1">
        <f t="array" ref="I12">_xlfn.XLOOKUP(BurnoutScores[[#This Row],[EmployeeID]]&amp;BurnoutScores[[#This Row],[Date]],DailyWorkMetrics[EmployeeID]&amp;DailyWorkMetrics[Date],DailyWorkMetrics[FocusHours])</f>
        <v>2.5</v>
      </c>
      <c r="J12" s="6" cm="1">
        <f t="array" ref="J12">_xlfn.XLOOKUP(BurnoutScores[[#This Row],[EmployeeID]]&amp;BurnoutScores[[#This Row],[Date]],DailyWorkMetrics[EmployeeID]&amp;DailyWorkMetrics[Date],DailyWorkMetrics[TasksPending])</f>
        <v>5</v>
      </c>
      <c r="K12" s="6" cm="1">
        <f t="array" ref="K12">_xlfn.XLOOKUP(BurnoutScores[[#This Row],[EmployeeID]]&amp;BurnoutScores[[#This Row],[Date]],WellbeingMetrics[EmployeeID]&amp;WellbeingMetrics[Date],WellbeingMetrics[SleepHours])</f>
        <v>6</v>
      </c>
      <c r="L12" s="6" cm="1">
        <f t="array" ref="L12">_xlfn.XLOOKUP(BurnoutScores[[#This Row],[EmployeeID]]&amp;BurnoutScores[[#This Row],[Date]],WellbeingMetrics[EmployeeID]&amp;WellbeingMetrics[Date],WellbeingMetrics[StressLevel])</f>
        <v>7</v>
      </c>
      <c r="M12" s="6" cm="1">
        <f t="array" ref="M12">_xlfn.XLOOKUP(BurnoutScores[[#This Row],[EmployeeID]]&amp;BurnoutScores[[#This Row],[Date]],WellbeingMetrics[EmployeeID]&amp;WellbeingMetrics[Date],WellbeingMetrics[EnergyLevel])</f>
        <v>5</v>
      </c>
      <c r="N12" s="6" cm="1">
        <f t="array" ref="N12">_xlfn.XLOOKUP(BurnoutScores[[#This Row],[EmployeeID]]&amp;BurnoutScores[[#This Row],[Date]],WellbeingMetrics[EmployeeID]&amp;WellbeingMetrics[Date],WellbeingMetrics[BreaksTaken])</f>
        <v>2</v>
      </c>
      <c r="O12" s="6">
        <f>_xlfn.XLOOKUP(_xlfn.XLOOKUP(BurnoutScores[[#This Row],[EmployeeID]],Employees[EmployeeID],Employees[WorkModeID]),WorkMode[ID],WorkMode[Adjustment])</f>
        <v>-3</v>
      </c>
    </row>
    <row r="13" spans="1:15" x14ac:dyDescent="0.3">
      <c r="A13" s="6">
        <v>12</v>
      </c>
      <c r="B13" s="6">
        <v>102</v>
      </c>
      <c r="C13" s="12" t="d">
        <v>2026-04-02</v>
      </c>
      <c r="D13" s="8">
        <f t="shared" si="0"/>
        <v>0</v>
      </c>
      <c r="E13" s="6">
        <f t="shared" si="1"/>
        <v>1</v>
      </c>
      <c r="F13" s="6" t="str">
        <f t="shared" si="2"/>
        <v>Balanced workload</v>
      </c>
      <c r="G13" s="6" cm="1">
        <f t="array" ref="G13">_xlfn.XLOOKUP(BurnoutScores[[#This Row],[EmployeeID]]&amp;BurnoutScores[[#This Row],[Date]],DailyWorkMetrics[EmployeeID]&amp;DailyWorkMetrics[Date],DailyWorkMetrics[Overtime])</f>
        <v>0</v>
      </c>
      <c r="H13" s="6" cm="1">
        <f t="array" ref="H13">_xlfn.XLOOKUP(BurnoutScores[[#This Row],[EmployeeID]]&amp;BurnoutScores[[#This Row],[Date]],DailyWorkMetrics[EmployeeID]&amp;DailyWorkMetrics[Date],DailyWorkMetrics[MeetingsCount])</f>
        <v>3</v>
      </c>
      <c r="I13" s="6" cm="1">
        <f t="array" ref="I13">_xlfn.XLOOKUP(BurnoutScores[[#This Row],[EmployeeID]]&amp;BurnoutScores[[#This Row],[Date]],DailyWorkMetrics[EmployeeID]&amp;DailyWorkMetrics[Date],DailyWorkMetrics[FocusHours])</f>
        <v>4.5</v>
      </c>
      <c r="J13" s="6" cm="1">
        <f t="array" ref="J13">_xlfn.XLOOKUP(BurnoutScores[[#This Row],[EmployeeID]]&amp;BurnoutScores[[#This Row],[Date]],DailyWorkMetrics[EmployeeID]&amp;DailyWorkMetrics[Date],DailyWorkMetrics[TasksPending])</f>
        <v>2</v>
      </c>
      <c r="K13" s="6" cm="1">
        <f t="array" ref="K13">_xlfn.XLOOKUP(BurnoutScores[[#This Row],[EmployeeID]]&amp;BurnoutScores[[#This Row],[Date]],WellbeingMetrics[EmployeeID]&amp;WellbeingMetrics[Date],WellbeingMetrics[SleepHours])</f>
        <v>7</v>
      </c>
      <c r="L13" s="6" cm="1">
        <f t="array" ref="L13">_xlfn.XLOOKUP(BurnoutScores[[#This Row],[EmployeeID]]&amp;BurnoutScores[[#This Row],[Date]],WellbeingMetrics[EmployeeID]&amp;WellbeingMetrics[Date],WellbeingMetrics[StressLevel])</f>
        <v>4</v>
      </c>
      <c r="M13" s="6" cm="1">
        <f t="array" ref="M13">_xlfn.XLOOKUP(BurnoutScores[[#This Row],[EmployeeID]]&amp;BurnoutScores[[#This Row],[Date]],WellbeingMetrics[EmployeeID]&amp;WellbeingMetrics[Date],WellbeingMetrics[EnergyLevel])</f>
        <v>7</v>
      </c>
      <c r="N13" s="6" cm="1">
        <f t="array" ref="N13">_xlfn.XLOOKUP(BurnoutScores[[#This Row],[EmployeeID]]&amp;BurnoutScores[[#This Row],[Date]],WellbeingMetrics[EmployeeID]&amp;WellbeingMetrics[Date],WellbeingMetrics[BreaksTaken])</f>
        <v>3</v>
      </c>
      <c r="O13" s="6">
        <f>_xlfn.XLOOKUP(_xlfn.XLOOKUP(BurnoutScores[[#This Row],[EmployeeID]],Employees[EmployeeID],Employees[WorkModeID]),WorkMode[ID],WorkMode[Adjustment])</f>
        <v>2</v>
      </c>
    </row>
    <row r="14" spans="1:15" x14ac:dyDescent="0.3">
      <c r="A14" s="6">
        <v>13</v>
      </c>
      <c r="B14" s="6">
        <v>103</v>
      </c>
      <c r="C14" s="12" t="d">
        <v>2026-04-02</v>
      </c>
      <c r="D14" s="8">
        <f t="shared" si="0"/>
        <v>57</v>
      </c>
      <c r="E14" s="6">
        <f t="shared" si="1"/>
        <v>3</v>
      </c>
      <c r="F14" s="6" t="str">
        <f t="shared" si="2"/>
        <v>High stress</v>
      </c>
      <c r="G14" s="6" cm="1">
        <f t="array" ref="G14">_xlfn.XLOOKUP(BurnoutScores[[#This Row],[EmployeeID]]&amp;BurnoutScores[[#This Row],[Date]],DailyWorkMetrics[EmployeeID]&amp;DailyWorkMetrics[Date],DailyWorkMetrics[Overtime])</f>
        <v>2.5</v>
      </c>
      <c r="H14" s="6" cm="1">
        <f t="array" ref="H14">_xlfn.XLOOKUP(BurnoutScores[[#This Row],[EmployeeID]]&amp;BurnoutScores[[#This Row],[Date]],DailyWorkMetrics[EmployeeID]&amp;DailyWorkMetrics[Date],DailyWorkMetrics[MeetingsCount])</f>
        <v>8</v>
      </c>
      <c r="I14" s="6" cm="1">
        <f t="array" ref="I14">_xlfn.XLOOKUP(BurnoutScores[[#This Row],[EmployeeID]]&amp;BurnoutScores[[#This Row],[Date]],DailyWorkMetrics[EmployeeID]&amp;DailyWorkMetrics[Date],DailyWorkMetrics[FocusHours])</f>
        <v>1.5</v>
      </c>
      <c r="J14" s="6" cm="1">
        <f t="array" ref="J14">_xlfn.XLOOKUP(BurnoutScores[[#This Row],[EmployeeID]]&amp;BurnoutScores[[#This Row],[Date]],DailyWorkMetrics[EmployeeID]&amp;DailyWorkMetrics[Date],DailyWorkMetrics[TasksPending])</f>
        <v>9</v>
      </c>
      <c r="K14" s="6" cm="1">
        <f t="array" ref="K14">_xlfn.XLOOKUP(BurnoutScores[[#This Row],[EmployeeID]]&amp;BurnoutScores[[#This Row],[Date]],WellbeingMetrics[EmployeeID]&amp;WellbeingMetrics[Date],WellbeingMetrics[SleepHours])</f>
        <v>5</v>
      </c>
      <c r="L14" s="6" cm="1">
        <f t="array" ref="L14">_xlfn.XLOOKUP(BurnoutScores[[#This Row],[EmployeeID]]&amp;BurnoutScores[[#This Row],[Date]],WellbeingMetrics[EmployeeID]&amp;WellbeingMetrics[Date],WellbeingMetrics[StressLevel])</f>
        <v>8</v>
      </c>
      <c r="M14" s="6" cm="1">
        <f t="array" ref="M14">_xlfn.XLOOKUP(BurnoutScores[[#This Row],[EmployeeID]]&amp;BurnoutScores[[#This Row],[Date]],WellbeingMetrics[EmployeeID]&amp;WellbeingMetrics[Date],WellbeingMetrics[EnergyLevel])</f>
        <v>3</v>
      </c>
      <c r="N14" s="6" cm="1">
        <f t="array" ref="N14">_xlfn.XLOOKUP(BurnoutScores[[#This Row],[EmployeeID]]&amp;BurnoutScores[[#This Row],[Date]],WellbeingMetrics[EmployeeID]&amp;WellbeingMetrics[Date],WellbeingMetrics[BreaksTaken])</f>
        <v>1</v>
      </c>
      <c r="O14" s="6">
        <f>_xlfn.XLOOKUP(_xlfn.XLOOKUP(BurnoutScores[[#This Row],[EmployeeID]],Employees[EmployeeID],Employees[WorkModeID]),WorkMode[ID],WorkMode[Adjustment])</f>
        <v>5</v>
      </c>
    </row>
    <row r="15" spans="1:15" x14ac:dyDescent="0.3">
      <c r="A15" s="6">
        <v>14</v>
      </c>
      <c r="B15" s="6">
        <v>104</v>
      </c>
      <c r="C15" s="12" t="d">
        <v>2026-04-02</v>
      </c>
      <c r="D15" s="8">
        <f t="shared" si="0"/>
        <v>0</v>
      </c>
      <c r="E15" s="6">
        <f t="shared" si="1"/>
        <v>1</v>
      </c>
      <c r="F15" s="6" t="str">
        <f t="shared" si="2"/>
        <v>Balanced workload</v>
      </c>
      <c r="G15" s="6" cm="1">
        <f t="array" ref="G15">_xlfn.XLOOKUP(BurnoutScores[[#This Row],[EmployeeID]]&amp;BurnoutScores[[#This Row],[Date]],DailyWorkMetrics[EmployeeID]&amp;DailyWorkMetrics[Date],DailyWorkMetrics[Overtime])</f>
        <v>0</v>
      </c>
      <c r="H15" s="6" cm="1">
        <f t="array" ref="H15">_xlfn.XLOOKUP(BurnoutScores[[#This Row],[EmployeeID]]&amp;BurnoutScores[[#This Row],[Date]],DailyWorkMetrics[EmployeeID]&amp;DailyWorkMetrics[Date],DailyWorkMetrics[MeetingsCount])</f>
        <v>4</v>
      </c>
      <c r="I15" s="6" cm="1">
        <f t="array" ref="I15">_xlfn.XLOOKUP(BurnoutScores[[#This Row],[EmployeeID]]&amp;BurnoutScores[[#This Row],[Date]],DailyWorkMetrics[EmployeeID]&amp;DailyWorkMetrics[Date],DailyWorkMetrics[FocusHours])</f>
        <v>4</v>
      </c>
      <c r="J15" s="6" cm="1">
        <f t="array" ref="J15">_xlfn.XLOOKUP(BurnoutScores[[#This Row],[EmployeeID]]&amp;BurnoutScores[[#This Row],[Date]],DailyWorkMetrics[EmployeeID]&amp;DailyWorkMetrics[Date],DailyWorkMetrics[TasksPending])</f>
        <v>3</v>
      </c>
      <c r="K15" s="6" cm="1">
        <f t="array" ref="K15">_xlfn.XLOOKUP(BurnoutScores[[#This Row],[EmployeeID]]&amp;BurnoutScores[[#This Row],[Date]],WellbeingMetrics[EmployeeID]&amp;WellbeingMetrics[Date],WellbeingMetrics[SleepHours])</f>
        <v>7</v>
      </c>
      <c r="L15" s="6" cm="1">
        <f t="array" ref="L15">_xlfn.XLOOKUP(BurnoutScores[[#This Row],[EmployeeID]]&amp;BurnoutScores[[#This Row],[Date]],WellbeingMetrics[EmployeeID]&amp;WellbeingMetrics[Date],WellbeingMetrics[StressLevel])</f>
        <v>5</v>
      </c>
      <c r="M15" s="6" cm="1">
        <f t="array" ref="M15">_xlfn.XLOOKUP(BurnoutScores[[#This Row],[EmployeeID]]&amp;BurnoutScores[[#This Row],[Date]],WellbeingMetrics[EmployeeID]&amp;WellbeingMetrics[Date],WellbeingMetrics[EnergyLevel])</f>
        <v>7</v>
      </c>
      <c r="N15" s="6" cm="1">
        <f t="array" ref="N15">_xlfn.XLOOKUP(BurnoutScores[[#This Row],[EmployeeID]]&amp;BurnoutScores[[#This Row],[Date]],WellbeingMetrics[EmployeeID]&amp;WellbeingMetrics[Date],WellbeingMetrics[BreaksTaken])</f>
        <v>3</v>
      </c>
      <c r="O15" s="6">
        <f>_xlfn.XLOOKUP(_xlfn.XLOOKUP(BurnoutScores[[#This Row],[EmployeeID]],Employees[EmployeeID],Employees[WorkModeID]),WorkMode[ID],WorkMode[Adjustment])</f>
        <v>-3</v>
      </c>
    </row>
    <row r="16" spans="1:15" x14ac:dyDescent="0.3">
      <c r="A16" s="6">
        <v>15</v>
      </c>
      <c r="B16" s="6">
        <v>105</v>
      </c>
      <c r="C16" s="12" t="d">
        <v>2026-04-02</v>
      </c>
      <c r="D16" s="8">
        <f t="shared" si="0"/>
        <v>78.5</v>
      </c>
      <c r="E16" s="6">
        <f t="shared" si="1"/>
        <v>3</v>
      </c>
      <c r="F16" s="6" t="str">
        <f t="shared" si="2"/>
        <v>High stress</v>
      </c>
      <c r="G16" s="6" cm="1">
        <f t="array" ref="G16">_xlfn.XLOOKUP(BurnoutScores[[#This Row],[EmployeeID]]&amp;BurnoutScores[[#This Row],[Date]],DailyWorkMetrics[EmployeeID]&amp;DailyWorkMetrics[Date],DailyWorkMetrics[Overtime])</f>
        <v>3</v>
      </c>
      <c r="H16" s="6" cm="1">
        <f t="array" ref="H16">_xlfn.XLOOKUP(BurnoutScores[[#This Row],[EmployeeID]]&amp;BurnoutScores[[#This Row],[Date]],DailyWorkMetrics[EmployeeID]&amp;DailyWorkMetrics[Date],DailyWorkMetrics[MeetingsCount])</f>
        <v>9</v>
      </c>
      <c r="I16" s="6" cm="1">
        <f t="array" ref="I16">_xlfn.XLOOKUP(BurnoutScores[[#This Row],[EmployeeID]]&amp;BurnoutScores[[#This Row],[Date]],DailyWorkMetrics[EmployeeID]&amp;DailyWorkMetrics[Date],DailyWorkMetrics[FocusHours])</f>
        <v>1</v>
      </c>
      <c r="J16" s="6" cm="1">
        <f t="array" ref="J16">_xlfn.XLOOKUP(BurnoutScores[[#This Row],[EmployeeID]]&amp;BurnoutScores[[#This Row],[Date]],DailyWorkMetrics[EmployeeID]&amp;DailyWorkMetrics[Date],DailyWorkMetrics[TasksPending])</f>
        <v>11</v>
      </c>
      <c r="K16" s="6" cm="1">
        <f t="array" ref="K16">_xlfn.XLOOKUP(BurnoutScores[[#This Row],[EmployeeID]]&amp;BurnoutScores[[#This Row],[Date]],WellbeingMetrics[EmployeeID]&amp;WellbeingMetrics[Date],WellbeingMetrics[SleepHours])</f>
        <v>4.5</v>
      </c>
      <c r="L16" s="6" cm="1">
        <f t="array" ref="L16">_xlfn.XLOOKUP(BurnoutScores[[#This Row],[EmployeeID]]&amp;BurnoutScores[[#This Row],[Date]],WellbeingMetrics[EmployeeID]&amp;WellbeingMetrics[Date],WellbeingMetrics[StressLevel])</f>
        <v>9</v>
      </c>
      <c r="M16" s="6" cm="1">
        <f t="array" ref="M16">_xlfn.XLOOKUP(BurnoutScores[[#This Row],[EmployeeID]]&amp;BurnoutScores[[#This Row],[Date]],WellbeingMetrics[EmployeeID]&amp;WellbeingMetrics[Date],WellbeingMetrics[EnergyLevel])</f>
        <v>2</v>
      </c>
      <c r="N16" s="6" cm="1">
        <f t="array" ref="N16">_xlfn.XLOOKUP(BurnoutScores[[#This Row],[EmployeeID]]&amp;BurnoutScores[[#This Row],[Date]],WellbeingMetrics[EmployeeID]&amp;WellbeingMetrics[Date],WellbeingMetrics[BreaksTaken])</f>
        <v>0</v>
      </c>
      <c r="O16" s="6">
        <f>_xlfn.XLOOKUP(_xlfn.XLOOKUP(BurnoutScores[[#This Row],[EmployeeID]],Employees[EmployeeID],Employees[WorkModeID]),WorkMode[ID],WorkMode[Adjustment])</f>
        <v>5</v>
      </c>
    </row>
    <row r="17" spans="1:15" x14ac:dyDescent="0.3">
      <c r="A17" s="6">
        <v>16</v>
      </c>
      <c r="B17" s="6">
        <v>106</v>
      </c>
      <c r="C17" s="12" t="d">
        <v>2026-04-02</v>
      </c>
      <c r="D17" s="8">
        <f t="shared" si="0"/>
        <v>0</v>
      </c>
      <c r="E17" s="6">
        <f t="shared" si="1"/>
        <v>1</v>
      </c>
      <c r="F17" s="6" t="str">
        <f t="shared" si="2"/>
        <v>Balanced workload</v>
      </c>
      <c r="G17" s="6" cm="1">
        <f t="array" ref="G17">_xlfn.XLOOKUP(BurnoutScores[[#This Row],[EmployeeID]]&amp;BurnoutScores[[#This Row],[Date]],DailyWorkMetrics[EmployeeID]&amp;DailyWorkMetrics[Date],DailyWorkMetrics[Overtime])</f>
        <v>0</v>
      </c>
      <c r="H17" s="6" cm="1">
        <f t="array" ref="H17">_xlfn.XLOOKUP(BurnoutScores[[#This Row],[EmployeeID]]&amp;BurnoutScores[[#This Row],[Date]],DailyWorkMetrics[EmployeeID]&amp;DailyWorkMetrics[Date],DailyWorkMetrics[MeetingsCount])</f>
        <v>3</v>
      </c>
      <c r="I17" s="6" cm="1">
        <f t="array" ref="I17">_xlfn.XLOOKUP(BurnoutScores[[#This Row],[EmployeeID]]&amp;BurnoutScores[[#This Row],[Date]],DailyWorkMetrics[EmployeeID]&amp;DailyWorkMetrics[Date],DailyWorkMetrics[FocusHours])</f>
        <v>4</v>
      </c>
      <c r="J17" s="6" cm="1">
        <f t="array" ref="J17">_xlfn.XLOOKUP(BurnoutScores[[#This Row],[EmployeeID]]&amp;BurnoutScores[[#This Row],[Date]],DailyWorkMetrics[EmployeeID]&amp;DailyWorkMetrics[Date],DailyWorkMetrics[TasksPending])</f>
        <v>2</v>
      </c>
      <c r="K17" s="6" cm="1">
        <f t="array" ref="K17">_xlfn.XLOOKUP(BurnoutScores[[#This Row],[EmployeeID]]&amp;BurnoutScores[[#This Row],[Date]],WellbeingMetrics[EmployeeID]&amp;WellbeingMetrics[Date],WellbeingMetrics[SleepHours])</f>
        <v>7</v>
      </c>
      <c r="L17" s="6" cm="1">
        <f t="array" ref="L17">_xlfn.XLOOKUP(BurnoutScores[[#This Row],[EmployeeID]]&amp;BurnoutScores[[#This Row],[Date]],WellbeingMetrics[EmployeeID]&amp;WellbeingMetrics[Date],WellbeingMetrics[StressLevel])</f>
        <v>4</v>
      </c>
      <c r="M17" s="6" cm="1">
        <f t="array" ref="M17">_xlfn.XLOOKUP(BurnoutScores[[#This Row],[EmployeeID]]&amp;BurnoutScores[[#This Row],[Date]],WellbeingMetrics[EmployeeID]&amp;WellbeingMetrics[Date],WellbeingMetrics[EnergyLevel])</f>
        <v>7</v>
      </c>
      <c r="N17" s="6" cm="1">
        <f t="array" ref="N17">_xlfn.XLOOKUP(BurnoutScores[[#This Row],[EmployeeID]]&amp;BurnoutScores[[#This Row],[Date]],WellbeingMetrics[EmployeeID]&amp;WellbeingMetrics[Date],WellbeingMetrics[BreaksTaken])</f>
        <v>4</v>
      </c>
      <c r="O17" s="6">
        <f>_xlfn.XLOOKUP(_xlfn.XLOOKUP(BurnoutScores[[#This Row],[EmployeeID]],Employees[EmployeeID],Employees[WorkModeID]),WorkMode[ID],WorkMode[Adjustment])</f>
        <v>2</v>
      </c>
    </row>
    <row r="18" spans="1:15" x14ac:dyDescent="0.3">
      <c r="A18" s="6">
        <v>17</v>
      </c>
      <c r="B18" s="6">
        <v>107</v>
      </c>
      <c r="C18" s="12" t="d">
        <v>2026-04-02</v>
      </c>
      <c r="D18" s="8">
        <f t="shared" si="0"/>
        <v>38</v>
      </c>
      <c r="E18" s="6">
        <f t="shared" si="1"/>
        <v>2</v>
      </c>
      <c r="F18" s="6" t="str">
        <f t="shared" si="2"/>
        <v>High stress</v>
      </c>
      <c r="G18" s="6" cm="1">
        <f t="array" ref="G18">_xlfn.XLOOKUP(BurnoutScores[[#This Row],[EmployeeID]]&amp;BurnoutScores[[#This Row],[Date]],DailyWorkMetrics[EmployeeID]&amp;DailyWorkMetrics[Date],DailyWorkMetrics[Overtime])</f>
        <v>1.5</v>
      </c>
      <c r="H18" s="6" cm="1">
        <f t="array" ref="H18">_xlfn.XLOOKUP(BurnoutScores[[#This Row],[EmployeeID]]&amp;BurnoutScores[[#This Row],[Date]],DailyWorkMetrics[EmployeeID]&amp;DailyWorkMetrics[Date],DailyWorkMetrics[MeetingsCount])</f>
        <v>7</v>
      </c>
      <c r="I18" s="6" cm="1">
        <f t="array" ref="I18">_xlfn.XLOOKUP(BurnoutScores[[#This Row],[EmployeeID]]&amp;BurnoutScores[[#This Row],[Date]],DailyWorkMetrics[EmployeeID]&amp;DailyWorkMetrics[Date],DailyWorkMetrics[FocusHours])</f>
        <v>2</v>
      </c>
      <c r="J18" s="6" cm="1">
        <f t="array" ref="J18">_xlfn.XLOOKUP(BurnoutScores[[#This Row],[EmployeeID]]&amp;BurnoutScores[[#This Row],[Date]],DailyWorkMetrics[EmployeeID]&amp;DailyWorkMetrics[Date],DailyWorkMetrics[TasksPending])</f>
        <v>7</v>
      </c>
      <c r="K18" s="6" cm="1">
        <f t="array" ref="K18">_xlfn.XLOOKUP(BurnoutScores[[#This Row],[EmployeeID]]&amp;BurnoutScores[[#This Row],[Date]],WellbeingMetrics[EmployeeID]&amp;WellbeingMetrics[Date],WellbeingMetrics[SleepHours])</f>
        <v>5</v>
      </c>
      <c r="L18" s="6" cm="1">
        <f t="array" ref="L18">_xlfn.XLOOKUP(BurnoutScores[[#This Row],[EmployeeID]]&amp;BurnoutScores[[#This Row],[Date]],WellbeingMetrics[EmployeeID]&amp;WellbeingMetrics[Date],WellbeingMetrics[StressLevel])</f>
        <v>8</v>
      </c>
      <c r="M18" s="6" cm="1">
        <f t="array" ref="M18">_xlfn.XLOOKUP(BurnoutScores[[#This Row],[EmployeeID]]&amp;BurnoutScores[[#This Row],[Date]],WellbeingMetrics[EmployeeID]&amp;WellbeingMetrics[Date],WellbeingMetrics[EnergyLevel])</f>
        <v>3</v>
      </c>
      <c r="N18" s="6" cm="1">
        <f t="array" ref="N18">_xlfn.XLOOKUP(BurnoutScores[[#This Row],[EmployeeID]]&amp;BurnoutScores[[#This Row],[Date]],WellbeingMetrics[EmployeeID]&amp;WellbeingMetrics[Date],WellbeingMetrics[BreaksTaken])</f>
        <v>1</v>
      </c>
      <c r="O18" s="6">
        <f>_xlfn.XLOOKUP(_xlfn.XLOOKUP(BurnoutScores[[#This Row],[EmployeeID]],Employees[EmployeeID],Employees[WorkModeID]),WorkMode[ID],WorkMode[Adjustment])</f>
        <v>-3</v>
      </c>
    </row>
    <row r="19" spans="1:15" x14ac:dyDescent="0.3">
      <c r="A19" s="6">
        <v>18</v>
      </c>
      <c r="B19" s="6">
        <v>108</v>
      </c>
      <c r="C19" s="12" t="d">
        <v>2026-04-02</v>
      </c>
      <c r="D19" s="8">
        <f t="shared" si="0"/>
        <v>80</v>
      </c>
      <c r="E19" s="6">
        <f t="shared" si="1"/>
        <v>3</v>
      </c>
      <c r="F19" s="6" t="str">
        <f t="shared" si="2"/>
        <v>High stress</v>
      </c>
      <c r="G19" s="6" cm="1">
        <f t="array" ref="G19">_xlfn.XLOOKUP(BurnoutScores[[#This Row],[EmployeeID]]&amp;BurnoutScores[[#This Row],[Date]],DailyWorkMetrics[EmployeeID]&amp;DailyWorkMetrics[Date],DailyWorkMetrics[Overtime])</f>
        <v>3.5</v>
      </c>
      <c r="H19" s="6" cm="1">
        <f t="array" ref="H19">_xlfn.XLOOKUP(BurnoutScores[[#This Row],[EmployeeID]]&amp;BurnoutScores[[#This Row],[Date]],DailyWorkMetrics[EmployeeID]&amp;DailyWorkMetrics[Date],DailyWorkMetrics[MeetingsCount])</f>
        <v>9</v>
      </c>
      <c r="I19" s="6" cm="1">
        <f t="array" ref="I19">_xlfn.XLOOKUP(BurnoutScores[[#This Row],[EmployeeID]]&amp;BurnoutScores[[#This Row],[Date]],DailyWorkMetrics[EmployeeID]&amp;DailyWorkMetrics[Date],DailyWorkMetrics[FocusHours])</f>
        <v>1</v>
      </c>
      <c r="J19" s="6" cm="1">
        <f t="array" ref="J19">_xlfn.XLOOKUP(BurnoutScores[[#This Row],[EmployeeID]]&amp;BurnoutScores[[#This Row],[Date]],DailyWorkMetrics[EmployeeID]&amp;DailyWorkMetrics[Date],DailyWorkMetrics[TasksPending])</f>
        <v>10</v>
      </c>
      <c r="K19" s="6" cm="1">
        <f t="array" ref="K19">_xlfn.XLOOKUP(BurnoutScores[[#This Row],[EmployeeID]]&amp;BurnoutScores[[#This Row],[Date]],WellbeingMetrics[EmployeeID]&amp;WellbeingMetrics[Date],WellbeingMetrics[SleepHours])</f>
        <v>4</v>
      </c>
      <c r="L19" s="6" cm="1">
        <f t="array" ref="L19">_xlfn.XLOOKUP(BurnoutScores[[#This Row],[EmployeeID]]&amp;BurnoutScores[[#This Row],[Date]],WellbeingMetrics[EmployeeID]&amp;WellbeingMetrics[Date],WellbeingMetrics[StressLevel])</f>
        <v>9</v>
      </c>
      <c r="M19" s="6" cm="1">
        <f t="array" ref="M19">_xlfn.XLOOKUP(BurnoutScores[[#This Row],[EmployeeID]]&amp;BurnoutScores[[#This Row],[Date]],WellbeingMetrics[EmployeeID]&amp;WellbeingMetrics[Date],WellbeingMetrics[EnergyLevel])</f>
        <v>2</v>
      </c>
      <c r="N19" s="6" cm="1">
        <f t="array" ref="N19">_xlfn.XLOOKUP(BurnoutScores[[#This Row],[EmployeeID]]&amp;BurnoutScores[[#This Row],[Date]],WellbeingMetrics[EmployeeID]&amp;WellbeingMetrics[Date],WellbeingMetrics[BreaksTaken])</f>
        <v>0</v>
      </c>
      <c r="O19" s="6">
        <f>_xlfn.XLOOKUP(_xlfn.XLOOKUP(BurnoutScores[[#This Row],[EmployeeID]],Employees[EmployeeID],Employees[WorkModeID]),WorkMode[ID],WorkMode[Adjustment])</f>
        <v>5</v>
      </c>
    </row>
    <row r="20" spans="1:15" x14ac:dyDescent="0.3">
      <c r="A20" s="6">
        <v>19</v>
      </c>
      <c r="B20" s="6">
        <v>109</v>
      </c>
      <c r="C20" s="12" t="d">
        <v>2026-04-02</v>
      </c>
      <c r="D20" s="8">
        <f t="shared" si="0"/>
        <v>0</v>
      </c>
      <c r="E20" s="6">
        <f t="shared" si="1"/>
        <v>1</v>
      </c>
      <c r="F20" s="6" t="str">
        <f t="shared" si="2"/>
        <v>Balanced workload</v>
      </c>
      <c r="G20" s="6" cm="1">
        <f t="array" ref="G20">_xlfn.XLOOKUP(BurnoutScores[[#This Row],[EmployeeID]]&amp;BurnoutScores[[#This Row],[Date]],DailyWorkMetrics[EmployeeID]&amp;DailyWorkMetrics[Date],DailyWorkMetrics[Overtime])</f>
        <v>0</v>
      </c>
      <c r="H20" s="6" cm="1">
        <f t="array" ref="H20">_xlfn.XLOOKUP(BurnoutScores[[#This Row],[EmployeeID]]&amp;BurnoutScores[[#This Row],[Date]],DailyWorkMetrics[EmployeeID]&amp;DailyWorkMetrics[Date],DailyWorkMetrics[MeetingsCount])</f>
        <v>2</v>
      </c>
      <c r="I20" s="6" cm="1">
        <f t="array" ref="I20">_xlfn.XLOOKUP(BurnoutScores[[#This Row],[EmployeeID]]&amp;BurnoutScores[[#This Row],[Date]],DailyWorkMetrics[EmployeeID]&amp;DailyWorkMetrics[Date],DailyWorkMetrics[FocusHours])</f>
        <v>5</v>
      </c>
      <c r="J20" s="6" cm="1">
        <f t="array" ref="J20">_xlfn.XLOOKUP(BurnoutScores[[#This Row],[EmployeeID]]&amp;BurnoutScores[[#This Row],[Date]],DailyWorkMetrics[EmployeeID]&amp;DailyWorkMetrics[Date],DailyWorkMetrics[TasksPending])</f>
        <v>2</v>
      </c>
      <c r="K20" s="6" cm="1">
        <f t="array" ref="K20">_xlfn.XLOOKUP(BurnoutScores[[#This Row],[EmployeeID]]&amp;BurnoutScores[[#This Row],[Date]],WellbeingMetrics[EmployeeID]&amp;WellbeingMetrics[Date],WellbeingMetrics[SleepHours])</f>
        <v>7.5</v>
      </c>
      <c r="L20" s="6" cm="1">
        <f t="array" ref="L20">_xlfn.XLOOKUP(BurnoutScores[[#This Row],[EmployeeID]]&amp;BurnoutScores[[#This Row],[Date]],WellbeingMetrics[EmployeeID]&amp;WellbeingMetrics[Date],WellbeingMetrics[StressLevel])</f>
        <v>3</v>
      </c>
      <c r="M20" s="6" cm="1">
        <f t="array" ref="M20">_xlfn.XLOOKUP(BurnoutScores[[#This Row],[EmployeeID]]&amp;BurnoutScores[[#This Row],[Date]],WellbeingMetrics[EmployeeID]&amp;WellbeingMetrics[Date],WellbeingMetrics[EnergyLevel])</f>
        <v>7</v>
      </c>
      <c r="N20" s="6" cm="1">
        <f t="array" ref="N20">_xlfn.XLOOKUP(BurnoutScores[[#This Row],[EmployeeID]]&amp;BurnoutScores[[#This Row],[Date]],WellbeingMetrics[EmployeeID]&amp;WellbeingMetrics[Date],WellbeingMetrics[BreaksTaken])</f>
        <v>4</v>
      </c>
      <c r="O20" s="6">
        <f>_xlfn.XLOOKUP(_xlfn.XLOOKUP(BurnoutScores[[#This Row],[EmployeeID]],Employees[EmployeeID],Employees[WorkModeID]),WorkMode[ID],WorkMode[Adjustment])</f>
        <v>2</v>
      </c>
    </row>
    <row r="21" spans="1:15" x14ac:dyDescent="0.3">
      <c r="A21" s="6">
        <v>20</v>
      </c>
      <c r="B21" s="6">
        <v>110</v>
      </c>
      <c r="C21" s="12" t="d">
        <v>2026-04-02</v>
      </c>
      <c r="D21" s="8">
        <f t="shared" si="0"/>
        <v>0</v>
      </c>
      <c r="E21" s="6">
        <f t="shared" si="1"/>
        <v>1</v>
      </c>
      <c r="F21" s="6" t="str">
        <f t="shared" si="2"/>
        <v>Balanced workload</v>
      </c>
      <c r="G21" s="6" cm="1">
        <f t="array" ref="G21">_xlfn.XLOOKUP(BurnoutScores[[#This Row],[EmployeeID]]&amp;BurnoutScores[[#This Row],[Date]],DailyWorkMetrics[EmployeeID]&amp;DailyWorkMetrics[Date],DailyWorkMetrics[Overtime])</f>
        <v>1</v>
      </c>
      <c r="H21" s="6" cm="1">
        <f t="array" ref="H21">_xlfn.XLOOKUP(BurnoutScores[[#This Row],[EmployeeID]]&amp;BurnoutScores[[#This Row],[Date]],DailyWorkMetrics[EmployeeID]&amp;DailyWorkMetrics[Date],DailyWorkMetrics[MeetingsCount])</f>
        <v>4</v>
      </c>
      <c r="I21" s="6" cm="1">
        <f t="array" ref="I21">_xlfn.XLOOKUP(BurnoutScores[[#This Row],[EmployeeID]]&amp;BurnoutScores[[#This Row],[Date]],DailyWorkMetrics[EmployeeID]&amp;DailyWorkMetrics[Date],DailyWorkMetrics[FocusHours])</f>
        <v>3</v>
      </c>
      <c r="J21" s="6" cm="1">
        <f t="array" ref="J21">_xlfn.XLOOKUP(BurnoutScores[[#This Row],[EmployeeID]]&amp;BurnoutScores[[#This Row],[Date]],DailyWorkMetrics[EmployeeID]&amp;DailyWorkMetrics[Date],DailyWorkMetrics[TasksPending])</f>
        <v>4</v>
      </c>
      <c r="K21" s="6" cm="1">
        <f t="array" ref="K21">_xlfn.XLOOKUP(BurnoutScores[[#This Row],[EmployeeID]]&amp;BurnoutScores[[#This Row],[Date]],WellbeingMetrics[EmployeeID]&amp;WellbeingMetrics[Date],WellbeingMetrics[SleepHours])</f>
        <v>6.5</v>
      </c>
      <c r="L21" s="6" cm="1">
        <f t="array" ref="L21">_xlfn.XLOOKUP(BurnoutScores[[#This Row],[EmployeeID]]&amp;BurnoutScores[[#This Row],[Date]],WellbeingMetrics[EmployeeID]&amp;WellbeingMetrics[Date],WellbeingMetrics[StressLevel])</f>
        <v>6</v>
      </c>
      <c r="M21" s="6" cm="1">
        <f t="array" ref="M21">_xlfn.XLOOKUP(BurnoutScores[[#This Row],[EmployeeID]]&amp;BurnoutScores[[#This Row],[Date]],WellbeingMetrics[EmployeeID]&amp;WellbeingMetrics[Date],WellbeingMetrics[EnergyLevel])</f>
        <v>6</v>
      </c>
      <c r="N21" s="6" cm="1">
        <f t="array" ref="N21">_xlfn.XLOOKUP(BurnoutScores[[#This Row],[EmployeeID]]&amp;BurnoutScores[[#This Row],[Date]],WellbeingMetrics[EmployeeID]&amp;WellbeingMetrics[Date],WellbeingMetrics[BreaksTaken])</f>
        <v>3</v>
      </c>
      <c r="O21" s="6">
        <f>_xlfn.XLOOKUP(_xlfn.XLOOKUP(BurnoutScores[[#This Row],[EmployeeID]],Employees[EmployeeID],Employees[WorkModeID]),WorkMode[ID],WorkMode[Adjustment])</f>
        <v>-3</v>
      </c>
    </row>
    <row r="22" spans="1:15" x14ac:dyDescent="0.3">
      <c r="A22" s="6">
        <v>21</v>
      </c>
      <c r="B22" s="6">
        <v>101</v>
      </c>
      <c r="C22" s="12" t="d">
        <v>2026-04-03</v>
      </c>
      <c r="D22" s="8">
        <f t="shared" ref="D22:D41" si="3">MIN(100,MAX(0,(G22*4)+(H22*2)+(L22*5)-(K22*3)-(M22*4)-(I22*2)-(N22*2)+(J22*2)+O22))</f>
        <v>8.5</v>
      </c>
      <c r="E22" s="9">
        <f t="shared" ref="E22:E41" si="4">IF(D22&lt;=30,1,IF(D22&lt;=50,2,IF(D22&lt;=80,3,4)))</f>
        <v>1</v>
      </c>
      <c r="F22" s="10" t="str">
        <f t="shared" ref="F22:F41" si="5">IF(L22&gt;=8,"High stress",IF(G22&gt;=3,"Overtime",IF(H22&gt;=8,"Meeting overload",IF(J22&gt;=8,"Task backlog",IF(K22&lt;5,"Low recovery","Balanced workload")))))</f>
        <v>Balanced workload</v>
      </c>
      <c r="G22" s="6" cm="1">
        <f t="array" ref="G22">_xlfn.XLOOKUP(BurnoutScores[[#This Row],[EmployeeID]]&amp;BurnoutScores[[#This Row],[Date]],DailyWorkMetrics[EmployeeID]&amp;DailyWorkMetrics[Date],DailyWorkMetrics[Overtime])</f>
        <v>2</v>
      </c>
      <c r="H22" s="6" cm="1">
        <f t="array" ref="H22">_xlfn.XLOOKUP(BurnoutScores[[#This Row],[EmployeeID]]&amp;BurnoutScores[[#This Row],[Date]],DailyWorkMetrics[EmployeeID]&amp;DailyWorkMetrics[Date],DailyWorkMetrics[MeetingsCount])</f>
        <v>4</v>
      </c>
      <c r="I22" s="6" cm="1">
        <f t="array" ref="I22">_xlfn.XLOOKUP(BurnoutScores[[#This Row],[EmployeeID]]&amp;BurnoutScores[[#This Row],[Date]],DailyWorkMetrics[EmployeeID]&amp;DailyWorkMetrics[Date],DailyWorkMetrics[FocusHours])</f>
        <v>3</v>
      </c>
      <c r="J22" s="6" cm="1">
        <f t="array" ref="J22">_xlfn.XLOOKUP(BurnoutScores[[#This Row],[EmployeeID]]&amp;BurnoutScores[[#This Row],[Date]],DailyWorkMetrics[EmployeeID]&amp;DailyWorkMetrics[Date],DailyWorkMetrics[TasksPending])</f>
        <v>6</v>
      </c>
      <c r="K22" s="6" cm="1">
        <f t="array" ref="K22">_xlfn.XLOOKUP(BurnoutScores[[#This Row],[EmployeeID]]&amp;BurnoutScores[[#This Row],[Date]],WellbeingMetrics[EmployeeID]&amp;WellbeingMetrics[Date],WellbeingMetrics[SleepHours])</f>
        <v>5.5</v>
      </c>
      <c r="L22" s="6" cm="1">
        <f t="array" ref="L22">_xlfn.XLOOKUP(BurnoutScores[[#This Row],[EmployeeID]]&amp;BurnoutScores[[#This Row],[Date]],WellbeingMetrics[EmployeeID]&amp;WellbeingMetrics[Date],WellbeingMetrics[StressLevel])</f>
        <v>6</v>
      </c>
      <c r="M22" s="6" cm="1">
        <f t="array" ref="M22">_xlfn.XLOOKUP(BurnoutScores[[#This Row],[EmployeeID]]&amp;BurnoutScores[[#This Row],[Date]],WellbeingMetrics[EmployeeID]&amp;WellbeingMetrics[Date],WellbeingMetrics[EnergyLevel])</f>
        <v>5</v>
      </c>
      <c r="N22" s="6" cm="1">
        <f t="array" ref="N22">_xlfn.XLOOKUP(BurnoutScores[[#This Row],[EmployeeID]]&amp;BurnoutScores[[#This Row],[Date]],WellbeingMetrics[EmployeeID]&amp;WellbeingMetrics[Date],WellbeingMetrics[BreaksTaken])</f>
        <v>2</v>
      </c>
      <c r="O22" s="6">
        <f>_xlfn.XLOOKUP(_xlfn.XLOOKUP(BurnoutScores[[#This Row],[EmployeeID]],Employees[EmployeeID],Employees[WorkModeID]),WorkMode[ID],WorkMode[Adjustment])</f>
        <v>-3</v>
      </c>
    </row>
    <row r="23" spans="1:15" x14ac:dyDescent="0.3">
      <c r="A23" s="6">
        <v>22</v>
      </c>
      <c r="B23" s="6">
        <v>102</v>
      </c>
      <c r="C23" s="12" t="d">
        <v>2026-04-03</v>
      </c>
      <c r="D23" s="8">
        <f t="shared" si="3"/>
        <v>11.5</v>
      </c>
      <c r="E23" s="9">
        <f t="shared" si="4"/>
        <v>1</v>
      </c>
      <c r="F23" s="10" t="str">
        <f t="shared" si="5"/>
        <v>Meeting overload</v>
      </c>
      <c r="G23" s="6" cm="1">
        <f t="array" ref="G23">_xlfn.XLOOKUP(BurnoutScores[[#This Row],[EmployeeID]]&amp;BurnoutScores[[#This Row],[Date]],DailyWorkMetrics[EmployeeID]&amp;DailyWorkMetrics[Date],DailyWorkMetrics[Overtime])</f>
        <v>0</v>
      </c>
      <c r="H23" s="6" cm="1">
        <f t="array" ref="H23">_xlfn.XLOOKUP(BurnoutScores[[#This Row],[EmployeeID]]&amp;BurnoutScores[[#This Row],[Date]],DailyWorkMetrics[EmployeeID]&amp;DailyWorkMetrics[Date],DailyWorkMetrics[MeetingsCount])</f>
        <v>9</v>
      </c>
      <c r="I23" s="6" cm="1">
        <f t="array" ref="I23">_xlfn.XLOOKUP(BurnoutScores[[#This Row],[EmployeeID]]&amp;BurnoutScores[[#This Row],[Date]],DailyWorkMetrics[EmployeeID]&amp;DailyWorkMetrics[Date],DailyWorkMetrics[FocusHours])</f>
        <v>1.5</v>
      </c>
      <c r="J23" s="6" cm="1">
        <f t="array" ref="J23">_xlfn.XLOOKUP(BurnoutScores[[#This Row],[EmployeeID]]&amp;BurnoutScores[[#This Row],[Date]],DailyWorkMetrics[EmployeeID]&amp;DailyWorkMetrics[Date],DailyWorkMetrics[TasksPending])</f>
        <v>4</v>
      </c>
      <c r="K23" s="6" cm="1">
        <f t="array" ref="K23">_xlfn.XLOOKUP(BurnoutScores[[#This Row],[EmployeeID]]&amp;BurnoutScores[[#This Row],[Date]],WellbeingMetrics[EmployeeID]&amp;WellbeingMetrics[Date],WellbeingMetrics[SleepHours])</f>
        <v>6.5</v>
      </c>
      <c r="L23" s="6" cm="1">
        <f t="array" ref="L23">_xlfn.XLOOKUP(BurnoutScores[[#This Row],[EmployeeID]]&amp;BurnoutScores[[#This Row],[Date]],WellbeingMetrics[EmployeeID]&amp;WellbeingMetrics[Date],WellbeingMetrics[StressLevel])</f>
        <v>6</v>
      </c>
      <c r="M23" s="6" cm="1">
        <f t="array" ref="M23">_xlfn.XLOOKUP(BurnoutScores[[#This Row],[EmployeeID]]&amp;BurnoutScores[[#This Row],[Date]],WellbeingMetrics[EmployeeID]&amp;WellbeingMetrics[Date],WellbeingMetrics[EnergyLevel])</f>
        <v>5</v>
      </c>
      <c r="N23" s="6" cm="1">
        <f t="array" ref="N23">_xlfn.XLOOKUP(BurnoutScores[[#This Row],[EmployeeID]]&amp;BurnoutScores[[#This Row],[Date]],WellbeingMetrics[EmployeeID]&amp;WellbeingMetrics[Date],WellbeingMetrics[BreaksTaken])</f>
        <v>2</v>
      </c>
      <c r="O23" s="6">
        <f>_xlfn.XLOOKUP(_xlfn.XLOOKUP(BurnoutScores[[#This Row],[EmployeeID]],Employees[EmployeeID],Employees[WorkModeID]),WorkMode[ID],WorkMode[Adjustment])</f>
        <v>2</v>
      </c>
    </row>
    <row r="24" spans="1:15" x14ac:dyDescent="0.3">
      <c r="A24" s="6">
        <v>23</v>
      </c>
      <c r="B24" s="6">
        <v>103</v>
      </c>
      <c r="C24" s="12" t="d">
        <v>2026-04-03</v>
      </c>
      <c r="D24" s="8">
        <f t="shared" si="3"/>
        <v>0</v>
      </c>
      <c r="E24" s="9">
        <f t="shared" si="4"/>
        <v>1</v>
      </c>
      <c r="F24" s="10" t="str">
        <f t="shared" si="5"/>
        <v>Balanced workload</v>
      </c>
      <c r="G24" s="6" cm="1">
        <f t="array" ref="G24">_xlfn.XLOOKUP(BurnoutScores[[#This Row],[EmployeeID]]&amp;BurnoutScores[[#This Row],[Date]],DailyWorkMetrics[EmployeeID]&amp;DailyWorkMetrics[Date],DailyWorkMetrics[Overtime])</f>
        <v>0.5</v>
      </c>
      <c r="H24" s="6" cm="1">
        <f t="array" ref="H24">_xlfn.XLOOKUP(BurnoutScores[[#This Row],[EmployeeID]]&amp;BurnoutScores[[#This Row],[Date]],DailyWorkMetrics[EmployeeID]&amp;DailyWorkMetrics[Date],DailyWorkMetrics[MeetingsCount])</f>
        <v>4</v>
      </c>
      <c r="I24" s="6" cm="1">
        <f t="array" ref="I24">_xlfn.XLOOKUP(BurnoutScores[[#This Row],[EmployeeID]]&amp;BurnoutScores[[#This Row],[Date]],DailyWorkMetrics[EmployeeID]&amp;DailyWorkMetrics[Date],DailyWorkMetrics[FocusHours])</f>
        <v>4</v>
      </c>
      <c r="J24" s="6" cm="1">
        <f t="array" ref="J24">_xlfn.XLOOKUP(BurnoutScores[[#This Row],[EmployeeID]]&amp;BurnoutScores[[#This Row],[Date]],DailyWorkMetrics[EmployeeID]&amp;DailyWorkMetrics[Date],DailyWorkMetrics[TasksPending])</f>
        <v>3</v>
      </c>
      <c r="K24" s="6" cm="1">
        <f t="array" ref="K24">_xlfn.XLOOKUP(BurnoutScores[[#This Row],[EmployeeID]]&amp;BurnoutScores[[#This Row],[Date]],WellbeingMetrics[EmployeeID]&amp;WellbeingMetrics[Date],WellbeingMetrics[SleepHours])</f>
        <v>7</v>
      </c>
      <c r="L24" s="6" cm="1">
        <f t="array" ref="L24">_xlfn.XLOOKUP(BurnoutScores[[#This Row],[EmployeeID]]&amp;BurnoutScores[[#This Row],[Date]],WellbeingMetrics[EmployeeID]&amp;WellbeingMetrics[Date],WellbeingMetrics[StressLevel])</f>
        <v>4</v>
      </c>
      <c r="M24" s="6" cm="1">
        <f t="array" ref="M24">_xlfn.XLOOKUP(BurnoutScores[[#This Row],[EmployeeID]]&amp;BurnoutScores[[#This Row],[Date]],WellbeingMetrics[EmployeeID]&amp;WellbeingMetrics[Date],WellbeingMetrics[EnergyLevel])</f>
        <v>7</v>
      </c>
      <c r="N24" s="6" cm="1">
        <f t="array" ref="N24">_xlfn.XLOOKUP(BurnoutScores[[#This Row],[EmployeeID]]&amp;BurnoutScores[[#This Row],[Date]],WellbeingMetrics[EmployeeID]&amp;WellbeingMetrics[Date],WellbeingMetrics[BreaksTaken])</f>
        <v>3</v>
      </c>
      <c r="O24" s="6">
        <f>_xlfn.XLOOKUP(_xlfn.XLOOKUP(BurnoutScores[[#This Row],[EmployeeID]],Employees[EmployeeID],Employees[WorkModeID]),WorkMode[ID],WorkMode[Adjustment])</f>
        <v>5</v>
      </c>
    </row>
    <row r="25" spans="1:15" x14ac:dyDescent="0.3">
      <c r="A25" s="6">
        <v>24</v>
      </c>
      <c r="B25" s="6">
        <v>104</v>
      </c>
      <c r="C25" s="12" t="d">
        <v>2026-04-03</v>
      </c>
      <c r="D25" s="8">
        <f t="shared" si="3"/>
        <v>0</v>
      </c>
      <c r="E25" s="9">
        <f t="shared" si="4"/>
        <v>1</v>
      </c>
      <c r="F25" s="10" t="str">
        <f t="shared" si="5"/>
        <v>Balanced workload</v>
      </c>
      <c r="G25" s="6" cm="1">
        <f t="array" ref="G25">_xlfn.XLOOKUP(BurnoutScores[[#This Row],[EmployeeID]]&amp;BurnoutScores[[#This Row],[Date]],DailyWorkMetrics[EmployeeID]&amp;DailyWorkMetrics[Date],DailyWorkMetrics[Overtime])</f>
        <v>1</v>
      </c>
      <c r="H25" s="6" cm="1">
        <f t="array" ref="H25">_xlfn.XLOOKUP(BurnoutScores[[#This Row],[EmployeeID]]&amp;BurnoutScores[[#This Row],[Date]],DailyWorkMetrics[EmployeeID]&amp;DailyWorkMetrics[Date],DailyWorkMetrics[MeetingsCount])</f>
        <v>3</v>
      </c>
      <c r="I25" s="6" cm="1">
        <f t="array" ref="I25">_xlfn.XLOOKUP(BurnoutScores[[#This Row],[EmployeeID]]&amp;BurnoutScores[[#This Row],[Date]],DailyWorkMetrics[EmployeeID]&amp;DailyWorkMetrics[Date],DailyWorkMetrics[FocusHours])</f>
        <v>5</v>
      </c>
      <c r="J25" s="6" cm="1">
        <f t="array" ref="J25">_xlfn.XLOOKUP(BurnoutScores[[#This Row],[EmployeeID]]&amp;BurnoutScores[[#This Row],[Date]],DailyWorkMetrics[EmployeeID]&amp;DailyWorkMetrics[Date],DailyWorkMetrics[TasksPending])</f>
        <v>2</v>
      </c>
      <c r="K25" s="6" cm="1">
        <f t="array" ref="K25">_xlfn.XLOOKUP(BurnoutScores[[#This Row],[EmployeeID]]&amp;BurnoutScores[[#This Row],[Date]],WellbeingMetrics[EmployeeID]&amp;WellbeingMetrics[Date],WellbeingMetrics[SleepHours])</f>
        <v>7.5</v>
      </c>
      <c r="L25" s="6" cm="1">
        <f t="array" ref="L25">_xlfn.XLOOKUP(BurnoutScores[[#This Row],[EmployeeID]]&amp;BurnoutScores[[#This Row],[Date]],WellbeingMetrics[EmployeeID]&amp;WellbeingMetrics[Date],WellbeingMetrics[StressLevel])</f>
        <v>3</v>
      </c>
      <c r="M25" s="6" cm="1">
        <f t="array" ref="M25">_xlfn.XLOOKUP(BurnoutScores[[#This Row],[EmployeeID]]&amp;BurnoutScores[[#This Row],[Date]],WellbeingMetrics[EmployeeID]&amp;WellbeingMetrics[Date],WellbeingMetrics[EnergyLevel])</f>
        <v>8</v>
      </c>
      <c r="N25" s="6" cm="1">
        <f t="array" ref="N25">_xlfn.XLOOKUP(BurnoutScores[[#This Row],[EmployeeID]]&amp;BurnoutScores[[#This Row],[Date]],WellbeingMetrics[EmployeeID]&amp;WellbeingMetrics[Date],WellbeingMetrics[BreaksTaken])</f>
        <v>4</v>
      </c>
      <c r="O25" s="6">
        <f>_xlfn.XLOOKUP(_xlfn.XLOOKUP(BurnoutScores[[#This Row],[EmployeeID]],Employees[EmployeeID],Employees[WorkModeID]),WorkMode[ID],WorkMode[Adjustment])</f>
        <v>-3</v>
      </c>
    </row>
    <row r="26" spans="1:15" x14ac:dyDescent="0.3">
      <c r="A26" s="6">
        <v>25</v>
      </c>
      <c r="B26" s="6">
        <v>105</v>
      </c>
      <c r="C26" s="12" t="d">
        <v>2026-04-03</v>
      </c>
      <c r="D26" s="8">
        <f t="shared" si="3"/>
        <v>27</v>
      </c>
      <c r="E26" s="9">
        <f t="shared" si="4"/>
        <v>1</v>
      </c>
      <c r="F26" s="10" t="str">
        <f t="shared" si="5"/>
        <v>Overtime</v>
      </c>
      <c r="G26" s="6" cm="1">
        <f t="array" ref="G26">_xlfn.XLOOKUP(BurnoutScores[[#This Row],[EmployeeID]]&amp;BurnoutScores[[#This Row],[Date]],DailyWorkMetrics[EmployeeID]&amp;DailyWorkMetrics[Date],DailyWorkMetrics[Overtime])</f>
        <v>3.5</v>
      </c>
      <c r="H26" s="6" cm="1">
        <f t="array" ref="H26">_xlfn.XLOOKUP(BurnoutScores[[#This Row],[EmployeeID]]&amp;BurnoutScores[[#This Row],[Date]],DailyWorkMetrics[EmployeeID]&amp;DailyWorkMetrics[Date],DailyWorkMetrics[MeetingsCount])</f>
        <v>5</v>
      </c>
      <c r="I26" s="6" cm="1">
        <f t="array" ref="I26">_xlfn.XLOOKUP(BurnoutScores[[#This Row],[EmployeeID]]&amp;BurnoutScores[[#This Row],[Date]],DailyWorkMetrics[EmployeeID]&amp;DailyWorkMetrics[Date],DailyWorkMetrics[FocusHours])</f>
        <v>2</v>
      </c>
      <c r="J26" s="6" cm="1">
        <f t="array" ref="J26">_xlfn.XLOOKUP(BurnoutScores[[#This Row],[EmployeeID]]&amp;BurnoutScores[[#This Row],[Date]],DailyWorkMetrics[EmployeeID]&amp;DailyWorkMetrics[Date],DailyWorkMetrics[TasksPending])</f>
        <v>7</v>
      </c>
      <c r="K26" s="6" cm="1">
        <f t="array" ref="K26">_xlfn.XLOOKUP(BurnoutScores[[#This Row],[EmployeeID]]&amp;BurnoutScores[[#This Row],[Date]],WellbeingMetrics[EmployeeID]&amp;WellbeingMetrics[Date],WellbeingMetrics[SleepHours])</f>
        <v>6</v>
      </c>
      <c r="L26" s="6" cm="1">
        <f t="array" ref="L26">_xlfn.XLOOKUP(BurnoutScores[[#This Row],[EmployeeID]]&amp;BurnoutScores[[#This Row],[Date]],WellbeingMetrics[EmployeeID]&amp;WellbeingMetrics[Date],WellbeingMetrics[StressLevel])</f>
        <v>6</v>
      </c>
      <c r="M26" s="6" cm="1">
        <f t="array" ref="M26">_xlfn.XLOOKUP(BurnoutScores[[#This Row],[EmployeeID]]&amp;BurnoutScores[[#This Row],[Date]],WellbeingMetrics[EmployeeID]&amp;WellbeingMetrics[Date],WellbeingMetrics[EnergyLevel])</f>
        <v>5</v>
      </c>
      <c r="N26" s="6" cm="1">
        <f t="array" ref="N26">_xlfn.XLOOKUP(BurnoutScores[[#This Row],[EmployeeID]]&amp;BurnoutScores[[#This Row],[Date]],WellbeingMetrics[EmployeeID]&amp;WellbeingMetrics[Date],WellbeingMetrics[BreaksTaken])</f>
        <v>2</v>
      </c>
      <c r="O26" s="6">
        <f>_xlfn.XLOOKUP(_xlfn.XLOOKUP(BurnoutScores[[#This Row],[EmployeeID]],Employees[EmployeeID],Employees[WorkModeID]),WorkMode[ID],WorkMode[Adjustment])</f>
        <v>5</v>
      </c>
    </row>
    <row r="27" spans="1:15" x14ac:dyDescent="0.3">
      <c r="A27" s="6">
        <v>26</v>
      </c>
      <c r="B27" s="6">
        <v>106</v>
      </c>
      <c r="C27" s="12" t="d">
        <v>2026-04-03</v>
      </c>
      <c r="D27" s="8">
        <f t="shared" si="3"/>
        <v>0</v>
      </c>
      <c r="E27" s="9">
        <f t="shared" si="4"/>
        <v>1</v>
      </c>
      <c r="F27" s="10" t="str">
        <f t="shared" si="5"/>
        <v>Balanced workload</v>
      </c>
      <c r="G27" s="6" cm="1">
        <f t="array" ref="G27">_xlfn.XLOOKUP(BurnoutScores[[#This Row],[EmployeeID]]&amp;BurnoutScores[[#This Row],[Date]],DailyWorkMetrics[EmployeeID]&amp;DailyWorkMetrics[Date],DailyWorkMetrics[Overtime])</f>
        <v>0</v>
      </c>
      <c r="H27" s="6" cm="1">
        <f t="array" ref="H27">_xlfn.XLOOKUP(BurnoutScores[[#This Row],[EmployeeID]]&amp;BurnoutScores[[#This Row],[Date]],DailyWorkMetrics[EmployeeID]&amp;DailyWorkMetrics[Date],DailyWorkMetrics[MeetingsCount])</f>
        <v>2</v>
      </c>
      <c r="I27" s="6" cm="1">
        <f t="array" ref="I27">_xlfn.XLOOKUP(BurnoutScores[[#This Row],[EmployeeID]]&amp;BurnoutScores[[#This Row],[Date]],DailyWorkMetrics[EmployeeID]&amp;DailyWorkMetrics[Date],DailyWorkMetrics[FocusHours])</f>
        <v>5</v>
      </c>
      <c r="J27" s="6" cm="1">
        <f t="array" ref="J27">_xlfn.XLOOKUP(BurnoutScores[[#This Row],[EmployeeID]]&amp;BurnoutScores[[#This Row],[Date]],DailyWorkMetrics[EmployeeID]&amp;DailyWorkMetrics[Date],DailyWorkMetrics[TasksPending])</f>
        <v>1</v>
      </c>
      <c r="K27" s="6" cm="1">
        <f t="array" ref="K27">_xlfn.XLOOKUP(BurnoutScores[[#This Row],[EmployeeID]]&amp;BurnoutScores[[#This Row],[Date]],WellbeingMetrics[EmployeeID]&amp;WellbeingMetrics[Date],WellbeingMetrics[SleepHours])</f>
        <v>8</v>
      </c>
      <c r="L27" s="6" cm="1">
        <f t="array" ref="L27">_xlfn.XLOOKUP(BurnoutScores[[#This Row],[EmployeeID]]&amp;BurnoutScores[[#This Row],[Date]],WellbeingMetrics[EmployeeID]&amp;WellbeingMetrics[Date],WellbeingMetrics[StressLevel])</f>
        <v>2</v>
      </c>
      <c r="M27" s="6" cm="1">
        <f t="array" ref="M27">_xlfn.XLOOKUP(BurnoutScores[[#This Row],[EmployeeID]]&amp;BurnoutScores[[#This Row],[Date]],WellbeingMetrics[EmployeeID]&amp;WellbeingMetrics[Date],WellbeingMetrics[EnergyLevel])</f>
        <v>8</v>
      </c>
      <c r="N27" s="6" cm="1">
        <f t="array" ref="N27">_xlfn.XLOOKUP(BurnoutScores[[#This Row],[EmployeeID]]&amp;BurnoutScores[[#This Row],[Date]],WellbeingMetrics[EmployeeID]&amp;WellbeingMetrics[Date],WellbeingMetrics[BreaksTaken])</f>
        <v>4</v>
      </c>
      <c r="O27" s="6">
        <f>_xlfn.XLOOKUP(_xlfn.XLOOKUP(BurnoutScores[[#This Row],[EmployeeID]],Employees[EmployeeID],Employees[WorkModeID]),WorkMode[ID],WorkMode[Adjustment])</f>
        <v>2</v>
      </c>
    </row>
    <row r="28" spans="1:15" x14ac:dyDescent="0.3">
      <c r="A28" s="6">
        <v>27</v>
      </c>
      <c r="B28" s="6">
        <v>107</v>
      </c>
      <c r="C28" s="12" t="d">
        <v>2026-04-03</v>
      </c>
      <c r="D28" s="8">
        <f t="shared" si="3"/>
        <v>9</v>
      </c>
      <c r="E28" s="9">
        <f t="shared" si="4"/>
        <v>1</v>
      </c>
      <c r="F28" s="10" t="str">
        <f t="shared" si="5"/>
        <v>Task backlog</v>
      </c>
      <c r="G28" s="6" cm="1">
        <f t="array" ref="G28">_xlfn.XLOOKUP(BurnoutScores[[#This Row],[EmployeeID]]&amp;BurnoutScores[[#This Row],[Date]],DailyWorkMetrics[EmployeeID]&amp;DailyWorkMetrics[Date],DailyWorkMetrics[Overtime])</f>
        <v>1</v>
      </c>
      <c r="H28" s="6" cm="1">
        <f t="array" ref="H28">_xlfn.XLOOKUP(BurnoutScores[[#This Row],[EmployeeID]]&amp;BurnoutScores[[#This Row],[Date]],DailyWorkMetrics[EmployeeID]&amp;DailyWorkMetrics[Date],DailyWorkMetrics[MeetingsCount])</f>
        <v>4</v>
      </c>
      <c r="I28" s="6" cm="1">
        <f t="array" ref="I28">_xlfn.XLOOKUP(BurnoutScores[[#This Row],[EmployeeID]]&amp;BurnoutScores[[#This Row],[Date]],DailyWorkMetrics[EmployeeID]&amp;DailyWorkMetrics[Date],DailyWorkMetrics[FocusHours])</f>
        <v>3</v>
      </c>
      <c r="J28" s="6" cm="1">
        <f t="array" ref="J28">_xlfn.XLOOKUP(BurnoutScores[[#This Row],[EmployeeID]]&amp;BurnoutScores[[#This Row],[Date]],DailyWorkMetrics[EmployeeID]&amp;DailyWorkMetrics[Date],DailyWorkMetrics[TasksPending])</f>
        <v>9</v>
      </c>
      <c r="K28" s="6" cm="1">
        <f t="array" ref="K28">_xlfn.XLOOKUP(BurnoutScores[[#This Row],[EmployeeID]]&amp;BurnoutScores[[#This Row],[Date]],WellbeingMetrics[EmployeeID]&amp;WellbeingMetrics[Date],WellbeingMetrics[SleepHours])</f>
        <v>6</v>
      </c>
      <c r="L28" s="6" cm="1">
        <f t="array" ref="L28">_xlfn.XLOOKUP(BurnoutScores[[#This Row],[EmployeeID]]&amp;BurnoutScores[[#This Row],[Date]],WellbeingMetrics[EmployeeID]&amp;WellbeingMetrics[Date],WellbeingMetrics[StressLevel])</f>
        <v>6</v>
      </c>
      <c r="M28" s="6" cm="1">
        <f t="array" ref="M28">_xlfn.XLOOKUP(BurnoutScores[[#This Row],[EmployeeID]]&amp;BurnoutScores[[#This Row],[Date]],WellbeingMetrics[EmployeeID]&amp;WellbeingMetrics[Date],WellbeingMetrics[EnergyLevel])</f>
        <v>5</v>
      </c>
      <c r="N28" s="6" cm="1">
        <f t="array" ref="N28">_xlfn.XLOOKUP(BurnoutScores[[#This Row],[EmployeeID]]&amp;BurnoutScores[[#This Row],[Date]],WellbeingMetrics[EmployeeID]&amp;WellbeingMetrics[Date],WellbeingMetrics[BreaksTaken])</f>
        <v>2</v>
      </c>
      <c r="O28" s="6">
        <f>_xlfn.XLOOKUP(_xlfn.XLOOKUP(BurnoutScores[[#This Row],[EmployeeID]],Employees[EmployeeID],Employees[WorkModeID]),WorkMode[ID],WorkMode[Adjustment])</f>
        <v>-3</v>
      </c>
    </row>
    <row r="29" spans="1:15" x14ac:dyDescent="0.3">
      <c r="A29" s="6">
        <v>28</v>
      </c>
      <c r="B29" s="6">
        <v>108</v>
      </c>
      <c r="C29" s="12" t="d">
        <v>2026-04-03</v>
      </c>
      <c r="D29" s="8">
        <f t="shared" si="3"/>
        <v>22.5</v>
      </c>
      <c r="E29" s="9">
        <f t="shared" si="4"/>
        <v>1</v>
      </c>
      <c r="F29" s="10" t="str">
        <f t="shared" si="5"/>
        <v>Low recovery</v>
      </c>
      <c r="G29" s="6" cm="1">
        <f t="array" ref="G29">_xlfn.XLOOKUP(BurnoutScores[[#This Row],[EmployeeID]]&amp;BurnoutScores[[#This Row],[Date]],DailyWorkMetrics[EmployeeID]&amp;DailyWorkMetrics[Date],DailyWorkMetrics[Overtime])</f>
        <v>0</v>
      </c>
      <c r="H29" s="6" cm="1">
        <f t="array" ref="H29">_xlfn.XLOOKUP(BurnoutScores[[#This Row],[EmployeeID]]&amp;BurnoutScores[[#This Row],[Date]],DailyWorkMetrics[EmployeeID]&amp;DailyWorkMetrics[Date],DailyWorkMetrics[MeetingsCount])</f>
        <v>5</v>
      </c>
      <c r="I29" s="6" cm="1">
        <f t="array" ref="I29">_xlfn.XLOOKUP(BurnoutScores[[#This Row],[EmployeeID]]&amp;BurnoutScores[[#This Row],[Date]],DailyWorkMetrics[EmployeeID]&amp;DailyWorkMetrics[Date],DailyWorkMetrics[FocusHours])</f>
        <v>3</v>
      </c>
      <c r="J29" s="6" cm="1">
        <f t="array" ref="J29">_xlfn.XLOOKUP(BurnoutScores[[#This Row],[EmployeeID]]&amp;BurnoutScores[[#This Row],[Date]],DailyWorkMetrics[EmployeeID]&amp;DailyWorkMetrics[Date],DailyWorkMetrics[TasksPending])</f>
        <v>5</v>
      </c>
      <c r="K29" s="6" cm="1">
        <f t="array" ref="K29">_xlfn.XLOOKUP(BurnoutScores[[#This Row],[EmployeeID]]&amp;BurnoutScores[[#This Row],[Date]],WellbeingMetrics[EmployeeID]&amp;WellbeingMetrics[Date],WellbeingMetrics[SleepHours])</f>
        <v>4.5</v>
      </c>
      <c r="L29" s="6" cm="1">
        <f t="array" ref="L29">_xlfn.XLOOKUP(BurnoutScores[[#This Row],[EmployeeID]]&amp;BurnoutScores[[#This Row],[Date]],WellbeingMetrics[EmployeeID]&amp;WellbeingMetrics[Date],WellbeingMetrics[StressLevel])</f>
        <v>7</v>
      </c>
      <c r="M29" s="6" cm="1">
        <f t="array" ref="M29">_xlfn.XLOOKUP(BurnoutScores[[#This Row],[EmployeeID]]&amp;BurnoutScores[[#This Row],[Date]],WellbeingMetrics[EmployeeID]&amp;WellbeingMetrics[Date],WellbeingMetrics[EnergyLevel])</f>
        <v>4</v>
      </c>
      <c r="N29" s="6" cm="1">
        <f t="array" ref="N29">_xlfn.XLOOKUP(BurnoutScores[[#This Row],[EmployeeID]]&amp;BurnoutScores[[#This Row],[Date]],WellbeingMetrics[EmployeeID]&amp;WellbeingMetrics[Date],WellbeingMetrics[BreaksTaken])</f>
        <v>1</v>
      </c>
      <c r="O29" s="6">
        <f>_xlfn.XLOOKUP(_xlfn.XLOOKUP(BurnoutScores[[#This Row],[EmployeeID]],Employees[EmployeeID],Employees[WorkModeID]),WorkMode[ID],WorkMode[Adjustment])</f>
        <v>5</v>
      </c>
    </row>
    <row r="30" spans="1:15" x14ac:dyDescent="0.3">
      <c r="A30" s="6">
        <v>29</v>
      </c>
      <c r="B30" s="6">
        <v>109</v>
      </c>
      <c r="C30" s="12" t="d">
        <v>2026-04-03</v>
      </c>
      <c r="D30" s="8">
        <f t="shared" si="3"/>
        <v>0</v>
      </c>
      <c r="E30" s="9">
        <f t="shared" si="4"/>
        <v>1</v>
      </c>
      <c r="F30" s="10" t="str">
        <f t="shared" si="5"/>
        <v>Balanced workload</v>
      </c>
      <c r="G30" s="6" cm="1">
        <f t="array" ref="G30">_xlfn.XLOOKUP(BurnoutScores[[#This Row],[EmployeeID]]&amp;BurnoutScores[[#This Row],[Date]],DailyWorkMetrics[EmployeeID]&amp;DailyWorkMetrics[Date],DailyWorkMetrics[Overtime])</f>
        <v>0</v>
      </c>
      <c r="H30" s="6" cm="1">
        <f t="array" ref="H30">_xlfn.XLOOKUP(BurnoutScores[[#This Row],[EmployeeID]]&amp;BurnoutScores[[#This Row],[Date]],DailyWorkMetrics[EmployeeID]&amp;DailyWorkMetrics[Date],DailyWorkMetrics[MeetingsCount])</f>
        <v>2</v>
      </c>
      <c r="I30" s="6" cm="1">
        <f t="array" ref="I30">_xlfn.XLOOKUP(BurnoutScores[[#This Row],[EmployeeID]]&amp;BurnoutScores[[#This Row],[Date]],DailyWorkMetrics[EmployeeID]&amp;DailyWorkMetrics[Date],DailyWorkMetrics[FocusHours])</f>
        <v>5.5</v>
      </c>
      <c r="J30" s="6" cm="1">
        <f t="array" ref="J30">_xlfn.XLOOKUP(BurnoutScores[[#This Row],[EmployeeID]]&amp;BurnoutScores[[#This Row],[Date]],DailyWorkMetrics[EmployeeID]&amp;DailyWorkMetrics[Date],DailyWorkMetrics[TasksPending])</f>
        <v>1</v>
      </c>
      <c r="K30" s="6" cm="1">
        <f t="array" ref="K30">_xlfn.XLOOKUP(BurnoutScores[[#This Row],[EmployeeID]]&amp;BurnoutScores[[#This Row],[Date]],WellbeingMetrics[EmployeeID]&amp;WellbeingMetrics[Date],WellbeingMetrics[SleepHours])</f>
        <v>8</v>
      </c>
      <c r="L30" s="6" cm="1">
        <f t="array" ref="L30">_xlfn.XLOOKUP(BurnoutScores[[#This Row],[EmployeeID]]&amp;BurnoutScores[[#This Row],[Date]],WellbeingMetrics[EmployeeID]&amp;WellbeingMetrics[Date],WellbeingMetrics[StressLevel])</f>
        <v>2</v>
      </c>
      <c r="M30" s="6" cm="1">
        <f t="array" ref="M30">_xlfn.XLOOKUP(BurnoutScores[[#This Row],[EmployeeID]]&amp;BurnoutScores[[#This Row],[Date]],WellbeingMetrics[EmployeeID]&amp;WellbeingMetrics[Date],WellbeingMetrics[EnergyLevel])</f>
        <v>9</v>
      </c>
      <c r="N30" s="6" cm="1">
        <f t="array" ref="N30">_xlfn.XLOOKUP(BurnoutScores[[#This Row],[EmployeeID]]&amp;BurnoutScores[[#This Row],[Date]],WellbeingMetrics[EmployeeID]&amp;WellbeingMetrics[Date],WellbeingMetrics[BreaksTaken])</f>
        <v>4</v>
      </c>
      <c r="O30" s="6">
        <f>_xlfn.XLOOKUP(_xlfn.XLOOKUP(BurnoutScores[[#This Row],[EmployeeID]],Employees[EmployeeID],Employees[WorkModeID]),WorkMode[ID],WorkMode[Adjustment])</f>
        <v>2</v>
      </c>
    </row>
    <row r="31" spans="1:15" x14ac:dyDescent="0.3">
      <c r="A31" s="6">
        <v>30</v>
      </c>
      <c r="B31" s="6">
        <v>110</v>
      </c>
      <c r="C31" s="12" t="d">
        <v>2026-04-03</v>
      </c>
      <c r="D31" s="8">
        <f t="shared" si="3"/>
        <v>32</v>
      </c>
      <c r="E31" s="9">
        <f t="shared" si="4"/>
        <v>2</v>
      </c>
      <c r="F31" s="10" t="str">
        <f t="shared" si="5"/>
        <v>Meeting overload</v>
      </c>
      <c r="G31" s="6" cm="1">
        <f t="array" ref="G31">_xlfn.XLOOKUP(BurnoutScores[[#This Row],[EmployeeID]]&amp;BurnoutScores[[#This Row],[Date]],DailyWorkMetrics[EmployeeID]&amp;DailyWorkMetrics[Date],DailyWorkMetrics[Overtime])</f>
        <v>2</v>
      </c>
      <c r="H31" s="6" cm="1">
        <f t="array" ref="H31">_xlfn.XLOOKUP(BurnoutScores[[#This Row],[EmployeeID]]&amp;BurnoutScores[[#This Row],[Date]],DailyWorkMetrics[EmployeeID]&amp;DailyWorkMetrics[Date],DailyWorkMetrics[MeetingsCount])</f>
        <v>8</v>
      </c>
      <c r="I31" s="6" cm="1">
        <f t="array" ref="I31">_xlfn.XLOOKUP(BurnoutScores[[#This Row],[EmployeeID]]&amp;BurnoutScores[[#This Row],[Date]],DailyWorkMetrics[EmployeeID]&amp;DailyWorkMetrics[Date],DailyWorkMetrics[FocusHours])</f>
        <v>2</v>
      </c>
      <c r="J31" s="6" cm="1">
        <f t="array" ref="J31">_xlfn.XLOOKUP(BurnoutScores[[#This Row],[EmployeeID]]&amp;BurnoutScores[[#This Row],[Date]],DailyWorkMetrics[EmployeeID]&amp;DailyWorkMetrics[Date],DailyWorkMetrics[TasksPending])</f>
        <v>8</v>
      </c>
      <c r="K31" s="6" cm="1">
        <f t="array" ref="K31">_xlfn.XLOOKUP(BurnoutScores[[#This Row],[EmployeeID]]&amp;BurnoutScores[[#This Row],[Date]],WellbeingMetrics[EmployeeID]&amp;WellbeingMetrics[Date],WellbeingMetrics[SleepHours])</f>
        <v>6</v>
      </c>
      <c r="L31" s="6" cm="1">
        <f t="array" ref="L31">_xlfn.XLOOKUP(BurnoutScores[[#This Row],[EmployeeID]]&amp;BurnoutScores[[#This Row],[Date]],WellbeingMetrics[EmployeeID]&amp;WellbeingMetrics[Date],WellbeingMetrics[StressLevel])</f>
        <v>7</v>
      </c>
      <c r="M31" s="6" cm="1">
        <f t="array" ref="M31">_xlfn.XLOOKUP(BurnoutScores[[#This Row],[EmployeeID]]&amp;BurnoutScores[[#This Row],[Date]],WellbeingMetrics[EmployeeID]&amp;WellbeingMetrics[Date],WellbeingMetrics[EnergyLevel])</f>
        <v>4</v>
      </c>
      <c r="N31" s="6" cm="1">
        <f t="array" ref="N31">_xlfn.XLOOKUP(BurnoutScores[[#This Row],[EmployeeID]]&amp;BurnoutScores[[#This Row],[Date]],WellbeingMetrics[EmployeeID]&amp;WellbeingMetrics[Date],WellbeingMetrics[BreaksTaken])</f>
        <v>1</v>
      </c>
      <c r="O31" s="6">
        <f>_xlfn.XLOOKUP(_xlfn.XLOOKUP(BurnoutScores[[#This Row],[EmployeeID]],Employees[EmployeeID],Employees[WorkModeID]),WorkMode[ID],WorkMode[Adjustment])</f>
        <v>-3</v>
      </c>
    </row>
    <row r="32" spans="1:15" x14ac:dyDescent="0.3">
      <c r="A32" s="6">
        <v>31</v>
      </c>
      <c r="B32" s="6">
        <v>101</v>
      </c>
      <c r="C32" s="12" t="d">
        <v>2026-04-04</v>
      </c>
      <c r="D32" s="8">
        <f t="shared" si="3"/>
        <v>0</v>
      </c>
      <c r="E32" s="9">
        <f t="shared" si="4"/>
        <v>1</v>
      </c>
      <c r="F32" s="10" t="str">
        <f t="shared" si="5"/>
        <v>Balanced workload</v>
      </c>
      <c r="G32" s="6" cm="1">
        <f t="array" ref="G32">_xlfn.XLOOKUP(BurnoutScores[[#This Row],[EmployeeID]]&amp;BurnoutScores[[#This Row],[Date]],DailyWorkMetrics[EmployeeID]&amp;DailyWorkMetrics[Date],DailyWorkMetrics[Overtime])</f>
        <v>0</v>
      </c>
      <c r="H32" s="6" cm="1">
        <f t="array" ref="H32">_xlfn.XLOOKUP(BurnoutScores[[#This Row],[EmployeeID]]&amp;BurnoutScores[[#This Row],[Date]],DailyWorkMetrics[EmployeeID]&amp;DailyWorkMetrics[Date],DailyWorkMetrics[MeetingsCount])</f>
        <v>2</v>
      </c>
      <c r="I32" s="6" cm="1">
        <f t="array" ref="I32">_xlfn.XLOOKUP(BurnoutScores[[#This Row],[EmployeeID]]&amp;BurnoutScores[[#This Row],[Date]],DailyWorkMetrics[EmployeeID]&amp;DailyWorkMetrics[Date],DailyWorkMetrics[FocusHours])</f>
        <v>5</v>
      </c>
      <c r="J32" s="6" cm="1">
        <f t="array" ref="J32">_xlfn.XLOOKUP(BurnoutScores[[#This Row],[EmployeeID]]&amp;BurnoutScores[[#This Row],[Date]],DailyWorkMetrics[EmployeeID]&amp;DailyWorkMetrics[Date],DailyWorkMetrics[TasksPending])</f>
        <v>2</v>
      </c>
      <c r="K32" s="6" cm="1">
        <f t="array" ref="K32">_xlfn.XLOOKUP(BurnoutScores[[#This Row],[EmployeeID]]&amp;BurnoutScores[[#This Row],[Date]],WellbeingMetrics[EmployeeID]&amp;WellbeingMetrics[Date],WellbeingMetrics[SleepHours])</f>
        <v>7.5</v>
      </c>
      <c r="L32" s="6" cm="1">
        <f t="array" ref="L32">_xlfn.XLOOKUP(BurnoutScores[[#This Row],[EmployeeID]]&amp;BurnoutScores[[#This Row],[Date]],WellbeingMetrics[EmployeeID]&amp;WellbeingMetrics[Date],WellbeingMetrics[StressLevel])</f>
        <v>3</v>
      </c>
      <c r="M32" s="6" cm="1">
        <f t="array" ref="M32">_xlfn.XLOOKUP(BurnoutScores[[#This Row],[EmployeeID]]&amp;BurnoutScores[[#This Row],[Date]],WellbeingMetrics[EmployeeID]&amp;WellbeingMetrics[Date],WellbeingMetrics[EnergyLevel])</f>
        <v>8</v>
      </c>
      <c r="N32" s="6" cm="1">
        <f t="array" ref="N32">_xlfn.XLOOKUP(BurnoutScores[[#This Row],[EmployeeID]]&amp;BurnoutScores[[#This Row],[Date]],WellbeingMetrics[EmployeeID]&amp;WellbeingMetrics[Date],WellbeingMetrics[BreaksTaken])</f>
        <v>4</v>
      </c>
      <c r="O32" s="6">
        <f>_xlfn.XLOOKUP(_xlfn.XLOOKUP(BurnoutScores[[#This Row],[EmployeeID]],Employees[EmployeeID],Employees[WorkModeID]),WorkMode[ID],WorkMode[Adjustment])</f>
        <v>-3</v>
      </c>
    </row>
    <row r="33" spans="1:15" x14ac:dyDescent="0.3">
      <c r="A33" s="6">
        <v>32</v>
      </c>
      <c r="B33" s="6">
        <v>102</v>
      </c>
      <c r="C33" s="12" t="d">
        <v>2026-04-04</v>
      </c>
      <c r="D33" s="8">
        <f t="shared" si="3"/>
        <v>32</v>
      </c>
      <c r="E33" s="9">
        <f t="shared" si="4"/>
        <v>2</v>
      </c>
      <c r="F33" s="10" t="str">
        <f t="shared" si="5"/>
        <v>Balanced workload</v>
      </c>
      <c r="G33" s="6" cm="1">
        <f t="array" ref="G33">_xlfn.XLOOKUP(BurnoutScores[[#This Row],[EmployeeID]]&amp;BurnoutScores[[#This Row],[Date]],DailyWorkMetrics[EmployeeID]&amp;DailyWorkMetrics[Date],DailyWorkMetrics[Overtime])</f>
        <v>1.5</v>
      </c>
      <c r="H33" s="6" cm="1">
        <f t="array" ref="H33">_xlfn.XLOOKUP(BurnoutScores[[#This Row],[EmployeeID]]&amp;BurnoutScores[[#This Row],[Date]],DailyWorkMetrics[EmployeeID]&amp;DailyWorkMetrics[Date],DailyWorkMetrics[MeetingsCount])</f>
        <v>7</v>
      </c>
      <c r="I33" s="6" cm="1">
        <f t="array" ref="I33">_xlfn.XLOOKUP(BurnoutScores[[#This Row],[EmployeeID]]&amp;BurnoutScores[[#This Row],[Date]],DailyWorkMetrics[EmployeeID]&amp;DailyWorkMetrics[Date],DailyWorkMetrics[FocusHours])</f>
        <v>2</v>
      </c>
      <c r="J33" s="6" cm="1">
        <f t="array" ref="J33">_xlfn.XLOOKUP(BurnoutScores[[#This Row],[EmployeeID]]&amp;BurnoutScores[[#This Row],[Date]],DailyWorkMetrics[EmployeeID]&amp;DailyWorkMetrics[Date],DailyWorkMetrics[TasksPending])</f>
        <v>6</v>
      </c>
      <c r="K33" s="6" cm="1">
        <f t="array" ref="K33">_xlfn.XLOOKUP(BurnoutScores[[#This Row],[EmployeeID]]&amp;BurnoutScores[[#This Row],[Date]],WellbeingMetrics[EmployeeID]&amp;WellbeingMetrics[Date],WellbeingMetrics[SleepHours])</f>
        <v>5</v>
      </c>
      <c r="L33" s="6" cm="1">
        <f t="array" ref="L33">_xlfn.XLOOKUP(BurnoutScores[[#This Row],[EmployeeID]]&amp;BurnoutScores[[#This Row],[Date]],WellbeingMetrics[EmployeeID]&amp;WellbeingMetrics[Date],WellbeingMetrics[StressLevel])</f>
        <v>7</v>
      </c>
      <c r="M33" s="6" cm="1">
        <f t="array" ref="M33">_xlfn.XLOOKUP(BurnoutScores[[#This Row],[EmployeeID]]&amp;BurnoutScores[[#This Row],[Date]],WellbeingMetrics[EmployeeID]&amp;WellbeingMetrics[Date],WellbeingMetrics[EnergyLevel])</f>
        <v>4</v>
      </c>
      <c r="N33" s="6" cm="1">
        <f t="array" ref="N33">_xlfn.XLOOKUP(BurnoutScores[[#This Row],[EmployeeID]]&amp;BurnoutScores[[#This Row],[Date]],WellbeingMetrics[EmployeeID]&amp;WellbeingMetrics[Date],WellbeingMetrics[BreaksTaken])</f>
        <v>1</v>
      </c>
      <c r="O33" s="6">
        <f>_xlfn.XLOOKUP(_xlfn.XLOOKUP(BurnoutScores[[#This Row],[EmployeeID]],Employees[EmployeeID],Employees[WorkModeID]),WorkMode[ID],WorkMode[Adjustment])</f>
        <v>2</v>
      </c>
    </row>
    <row r="34" spans="1:15" x14ac:dyDescent="0.3">
      <c r="A34" s="6">
        <v>33</v>
      </c>
      <c r="B34" s="6">
        <v>103</v>
      </c>
      <c r="C34" s="12" t="d">
        <v>2026-04-04</v>
      </c>
      <c r="D34" s="8">
        <f t="shared" si="3"/>
        <v>19</v>
      </c>
      <c r="E34" s="9">
        <f t="shared" si="4"/>
        <v>1</v>
      </c>
      <c r="F34" s="10" t="str">
        <f t="shared" si="5"/>
        <v>Overtime</v>
      </c>
      <c r="G34" s="6" cm="1">
        <f t="array" ref="G34">_xlfn.XLOOKUP(BurnoutScores[[#This Row],[EmployeeID]]&amp;BurnoutScores[[#This Row],[Date]],DailyWorkMetrics[EmployeeID]&amp;DailyWorkMetrics[Date],DailyWorkMetrics[Overtime])</f>
        <v>3</v>
      </c>
      <c r="H34" s="6" cm="1">
        <f t="array" ref="H34">_xlfn.XLOOKUP(BurnoutScores[[#This Row],[EmployeeID]]&amp;BurnoutScores[[#This Row],[Date]],DailyWorkMetrics[EmployeeID]&amp;DailyWorkMetrics[Date],DailyWorkMetrics[MeetingsCount])</f>
        <v>4</v>
      </c>
      <c r="I34" s="6" cm="1">
        <f t="array" ref="I34">_xlfn.XLOOKUP(BurnoutScores[[#This Row],[EmployeeID]]&amp;BurnoutScores[[#This Row],[Date]],DailyWorkMetrics[EmployeeID]&amp;DailyWorkMetrics[Date],DailyWorkMetrics[FocusHours])</f>
        <v>2</v>
      </c>
      <c r="J34" s="6" cm="1">
        <f t="array" ref="J34">_xlfn.XLOOKUP(BurnoutScores[[#This Row],[EmployeeID]]&amp;BurnoutScores[[#This Row],[Date]],DailyWorkMetrics[EmployeeID]&amp;DailyWorkMetrics[Date],DailyWorkMetrics[TasksPending])</f>
        <v>5</v>
      </c>
      <c r="K34" s="6" cm="1">
        <f t="array" ref="K34">_xlfn.XLOOKUP(BurnoutScores[[#This Row],[EmployeeID]]&amp;BurnoutScores[[#This Row],[Date]],WellbeingMetrics[EmployeeID]&amp;WellbeingMetrics[Date],WellbeingMetrics[SleepHours])</f>
        <v>6</v>
      </c>
      <c r="L34" s="6" cm="1">
        <f t="array" ref="L34">_xlfn.XLOOKUP(BurnoutScores[[#This Row],[EmployeeID]]&amp;BurnoutScores[[#This Row],[Date]],WellbeingMetrics[EmployeeID]&amp;WellbeingMetrics[Date],WellbeingMetrics[StressLevel])</f>
        <v>6</v>
      </c>
      <c r="M34" s="6" cm="1">
        <f t="array" ref="M34">_xlfn.XLOOKUP(BurnoutScores[[#This Row],[EmployeeID]]&amp;BurnoutScores[[#This Row],[Date]],WellbeingMetrics[EmployeeID]&amp;WellbeingMetrics[Date],WellbeingMetrics[EnergyLevel])</f>
        <v>5</v>
      </c>
      <c r="N34" s="6" cm="1">
        <f t="array" ref="N34">_xlfn.XLOOKUP(BurnoutScores[[#This Row],[EmployeeID]]&amp;BurnoutScores[[#This Row],[Date]],WellbeingMetrics[EmployeeID]&amp;WellbeingMetrics[Date],WellbeingMetrics[BreaksTaken])</f>
        <v>2</v>
      </c>
      <c r="O34" s="6">
        <f>_xlfn.XLOOKUP(_xlfn.XLOOKUP(BurnoutScores[[#This Row],[EmployeeID]],Employees[EmployeeID],Employees[WorkModeID]),WorkMode[ID],WorkMode[Adjustment])</f>
        <v>5</v>
      </c>
    </row>
    <row r="35" spans="1:15" x14ac:dyDescent="0.3">
      <c r="A35" s="6">
        <v>34</v>
      </c>
      <c r="B35" s="6">
        <v>104</v>
      </c>
      <c r="C35" s="12" t="d">
        <v>2026-04-04</v>
      </c>
      <c r="D35" s="8">
        <f t="shared" si="3"/>
        <v>15.5</v>
      </c>
      <c r="E35" s="9">
        <f t="shared" si="4"/>
        <v>1</v>
      </c>
      <c r="F35" s="10" t="str">
        <f t="shared" si="5"/>
        <v>Meeting overload</v>
      </c>
      <c r="G35" s="6" cm="1">
        <f t="array" ref="G35">_xlfn.XLOOKUP(BurnoutScores[[#This Row],[EmployeeID]]&amp;BurnoutScores[[#This Row],[Date]],DailyWorkMetrics[EmployeeID]&amp;DailyWorkMetrics[Date],DailyWorkMetrics[Overtime])</f>
        <v>0.5</v>
      </c>
      <c r="H35" s="6" cm="1">
        <f t="array" ref="H35">_xlfn.XLOOKUP(BurnoutScores[[#This Row],[EmployeeID]]&amp;BurnoutScores[[#This Row],[Date]],DailyWorkMetrics[EmployeeID]&amp;DailyWorkMetrics[Date],DailyWorkMetrics[MeetingsCount])</f>
        <v>10</v>
      </c>
      <c r="I35" s="6" cm="1">
        <f t="array" ref="I35">_xlfn.XLOOKUP(BurnoutScores[[#This Row],[EmployeeID]]&amp;BurnoutScores[[#This Row],[Date]],DailyWorkMetrics[EmployeeID]&amp;DailyWorkMetrics[Date],DailyWorkMetrics[FocusHours])</f>
        <v>1</v>
      </c>
      <c r="J35" s="6" cm="1">
        <f t="array" ref="J35">_xlfn.XLOOKUP(BurnoutScores[[#This Row],[EmployeeID]]&amp;BurnoutScores[[#This Row],[Date]],DailyWorkMetrics[EmployeeID]&amp;DailyWorkMetrics[Date],DailyWorkMetrics[TasksPending])</f>
        <v>6</v>
      </c>
      <c r="K35" s="6" cm="1">
        <f t="array" ref="K35">_xlfn.XLOOKUP(BurnoutScores[[#This Row],[EmployeeID]]&amp;BurnoutScores[[#This Row],[Date]],WellbeingMetrics[EmployeeID]&amp;WellbeingMetrics[Date],WellbeingMetrics[SleepHours])</f>
        <v>6.5</v>
      </c>
      <c r="L35" s="6" cm="1">
        <f t="array" ref="L35">_xlfn.XLOOKUP(BurnoutScores[[#This Row],[EmployeeID]]&amp;BurnoutScores[[#This Row],[Date]],WellbeingMetrics[EmployeeID]&amp;WellbeingMetrics[Date],WellbeingMetrics[StressLevel])</f>
        <v>6</v>
      </c>
      <c r="M35" s="6" cm="1">
        <f t="array" ref="M35">_xlfn.XLOOKUP(BurnoutScores[[#This Row],[EmployeeID]]&amp;BurnoutScores[[#This Row],[Date]],WellbeingMetrics[EmployeeID]&amp;WellbeingMetrics[Date],WellbeingMetrics[EnergyLevel])</f>
        <v>5</v>
      </c>
      <c r="N35" s="6" cm="1">
        <f t="array" ref="N35">_xlfn.XLOOKUP(BurnoutScores[[#This Row],[EmployeeID]]&amp;BurnoutScores[[#This Row],[Date]],WellbeingMetrics[EmployeeID]&amp;WellbeingMetrics[Date],WellbeingMetrics[BreaksTaken])</f>
        <v>2</v>
      </c>
      <c r="O35" s="6">
        <f>_xlfn.XLOOKUP(_xlfn.XLOOKUP(BurnoutScores[[#This Row],[EmployeeID]],Employees[EmployeeID],Employees[WorkModeID]),WorkMode[ID],WorkMode[Adjustment])</f>
        <v>-3</v>
      </c>
    </row>
    <row r="36" spans="1:15" x14ac:dyDescent="0.3">
      <c r="A36" s="6">
        <v>35</v>
      </c>
      <c r="B36" s="6">
        <v>105</v>
      </c>
      <c r="C36" s="12" t="d">
        <v>2026-04-04</v>
      </c>
      <c r="D36" s="8">
        <f t="shared" si="3"/>
        <v>13</v>
      </c>
      <c r="E36" s="9">
        <f t="shared" si="4"/>
        <v>1</v>
      </c>
      <c r="F36" s="10" t="str">
        <f t="shared" si="5"/>
        <v>Task backlog</v>
      </c>
      <c r="G36" s="6" cm="1">
        <f t="array" ref="G36">_xlfn.XLOOKUP(BurnoutScores[[#This Row],[EmployeeID]]&amp;BurnoutScores[[#This Row],[Date]],DailyWorkMetrics[EmployeeID]&amp;DailyWorkMetrics[Date],DailyWorkMetrics[Overtime])</f>
        <v>1</v>
      </c>
      <c r="H36" s="6" cm="1">
        <f t="array" ref="H36">_xlfn.XLOOKUP(BurnoutScores[[#This Row],[EmployeeID]]&amp;BurnoutScores[[#This Row],[Date]],DailyWorkMetrics[EmployeeID]&amp;DailyWorkMetrics[Date],DailyWorkMetrics[MeetingsCount])</f>
        <v>3</v>
      </c>
      <c r="I36" s="6" cm="1">
        <f t="array" ref="I36">_xlfn.XLOOKUP(BurnoutScores[[#This Row],[EmployeeID]]&amp;BurnoutScores[[#This Row],[Date]],DailyWorkMetrics[EmployeeID]&amp;DailyWorkMetrics[Date],DailyWorkMetrics[FocusHours])</f>
        <v>4</v>
      </c>
      <c r="J36" s="6" cm="1">
        <f t="array" ref="J36">_xlfn.XLOOKUP(BurnoutScores[[#This Row],[EmployeeID]]&amp;BurnoutScores[[#This Row],[Date]],DailyWorkMetrics[EmployeeID]&amp;DailyWorkMetrics[Date],DailyWorkMetrics[TasksPending])</f>
        <v>9</v>
      </c>
      <c r="K36" s="6" cm="1">
        <f t="array" ref="K36">_xlfn.XLOOKUP(BurnoutScores[[#This Row],[EmployeeID]]&amp;BurnoutScores[[#This Row],[Date]],WellbeingMetrics[EmployeeID]&amp;WellbeingMetrics[Date],WellbeingMetrics[SleepHours])</f>
        <v>6</v>
      </c>
      <c r="L36" s="6" cm="1">
        <f t="array" ref="L36">_xlfn.XLOOKUP(BurnoutScores[[#This Row],[EmployeeID]]&amp;BurnoutScores[[#This Row],[Date]],WellbeingMetrics[EmployeeID]&amp;WellbeingMetrics[Date],WellbeingMetrics[StressLevel])</f>
        <v>6</v>
      </c>
      <c r="M36" s="6" cm="1">
        <f t="array" ref="M36">_xlfn.XLOOKUP(BurnoutScores[[#This Row],[EmployeeID]]&amp;BurnoutScores[[#This Row],[Date]],WellbeingMetrics[EmployeeID]&amp;WellbeingMetrics[Date],WellbeingMetrics[EnergyLevel])</f>
        <v>5</v>
      </c>
      <c r="N36" s="6" cm="1">
        <f t="array" ref="N36">_xlfn.XLOOKUP(BurnoutScores[[#This Row],[EmployeeID]]&amp;BurnoutScores[[#This Row],[Date]],WellbeingMetrics[EmployeeID]&amp;WellbeingMetrics[Date],WellbeingMetrics[BreaksTaken])</f>
        <v>2</v>
      </c>
      <c r="O36" s="6">
        <f>_xlfn.XLOOKUP(_xlfn.XLOOKUP(BurnoutScores[[#This Row],[EmployeeID]],Employees[EmployeeID],Employees[WorkModeID]),WorkMode[ID],WorkMode[Adjustment])</f>
        <v>5</v>
      </c>
    </row>
    <row r="37" spans="1:15" x14ac:dyDescent="0.3">
      <c r="A37" s="6">
        <v>36</v>
      </c>
      <c r="B37" s="6">
        <v>106</v>
      </c>
      <c r="C37" s="12" t="d">
        <v>2026-04-04</v>
      </c>
      <c r="D37" s="8">
        <f t="shared" si="3"/>
        <v>0</v>
      </c>
      <c r="E37" s="9">
        <f t="shared" si="4"/>
        <v>1</v>
      </c>
      <c r="F37" s="10" t="str">
        <f t="shared" si="5"/>
        <v>Balanced workload</v>
      </c>
      <c r="G37" s="6" cm="1">
        <f t="array" ref="G37">_xlfn.XLOOKUP(BurnoutScores[[#This Row],[EmployeeID]]&amp;BurnoutScores[[#This Row],[Date]],DailyWorkMetrics[EmployeeID]&amp;DailyWorkMetrics[Date],DailyWorkMetrics[Overtime])</f>
        <v>0</v>
      </c>
      <c r="H37" s="6" cm="1">
        <f t="array" ref="H37">_xlfn.XLOOKUP(BurnoutScores[[#This Row],[EmployeeID]]&amp;BurnoutScores[[#This Row],[Date]],DailyWorkMetrics[EmployeeID]&amp;DailyWorkMetrics[Date],DailyWorkMetrics[MeetingsCount])</f>
        <v>3</v>
      </c>
      <c r="I37" s="6" cm="1">
        <f t="array" ref="I37">_xlfn.XLOOKUP(BurnoutScores[[#This Row],[EmployeeID]]&amp;BurnoutScores[[#This Row],[Date]],DailyWorkMetrics[EmployeeID]&amp;DailyWorkMetrics[Date],DailyWorkMetrics[FocusHours])</f>
        <v>4.5</v>
      </c>
      <c r="J37" s="6" cm="1">
        <f t="array" ref="J37">_xlfn.XLOOKUP(BurnoutScores[[#This Row],[EmployeeID]]&amp;BurnoutScores[[#This Row],[Date]],DailyWorkMetrics[EmployeeID]&amp;DailyWorkMetrics[Date],DailyWorkMetrics[TasksPending])</f>
        <v>2</v>
      </c>
      <c r="K37" s="6" cm="1">
        <f t="array" ref="K37">_xlfn.XLOOKUP(BurnoutScores[[#This Row],[EmployeeID]]&amp;BurnoutScores[[#This Row],[Date]],WellbeingMetrics[EmployeeID]&amp;WellbeingMetrics[Date],WellbeingMetrics[SleepHours])</f>
        <v>7</v>
      </c>
      <c r="L37" s="6" cm="1">
        <f t="array" ref="L37">_xlfn.XLOOKUP(BurnoutScores[[#This Row],[EmployeeID]]&amp;BurnoutScores[[#This Row],[Date]],WellbeingMetrics[EmployeeID]&amp;WellbeingMetrics[Date],WellbeingMetrics[StressLevel])</f>
        <v>4</v>
      </c>
      <c r="M37" s="6" cm="1">
        <f t="array" ref="M37">_xlfn.XLOOKUP(BurnoutScores[[#This Row],[EmployeeID]]&amp;BurnoutScores[[#This Row],[Date]],WellbeingMetrics[EmployeeID]&amp;WellbeingMetrics[Date],WellbeingMetrics[EnergyLevel])</f>
        <v>7</v>
      </c>
      <c r="N37" s="6" cm="1">
        <f t="array" ref="N37">_xlfn.XLOOKUP(BurnoutScores[[#This Row],[EmployeeID]]&amp;BurnoutScores[[#This Row],[Date]],WellbeingMetrics[EmployeeID]&amp;WellbeingMetrics[Date],WellbeingMetrics[BreaksTaken])</f>
        <v>3</v>
      </c>
      <c r="O37" s="6">
        <f>_xlfn.XLOOKUP(_xlfn.XLOOKUP(BurnoutScores[[#This Row],[EmployeeID]],Employees[EmployeeID],Employees[WorkModeID]),WorkMode[ID],WorkMode[Adjustment])</f>
        <v>2</v>
      </c>
    </row>
    <row r="38" spans="1:15" x14ac:dyDescent="0.3">
      <c r="A38" s="6">
        <v>37</v>
      </c>
      <c r="B38" s="6">
        <v>107</v>
      </c>
      <c r="C38" s="12" t="d">
        <v>2026-04-04</v>
      </c>
      <c r="D38" s="8">
        <f t="shared" si="3"/>
        <v>35.5</v>
      </c>
      <c r="E38" s="9">
        <f t="shared" si="4"/>
        <v>2</v>
      </c>
      <c r="F38" s="10" t="str">
        <f t="shared" si="5"/>
        <v>Task backlog</v>
      </c>
      <c r="G38" s="6" cm="1">
        <f t="array" ref="G38">_xlfn.XLOOKUP(BurnoutScores[[#This Row],[EmployeeID]]&amp;BurnoutScores[[#This Row],[Date]],DailyWorkMetrics[EmployeeID]&amp;DailyWorkMetrics[Date],DailyWorkMetrics[Overtime])</f>
        <v>2.5</v>
      </c>
      <c r="H38" s="6" cm="1">
        <f t="array" ref="H38">_xlfn.XLOOKUP(BurnoutScores[[#This Row],[EmployeeID]]&amp;BurnoutScores[[#This Row],[Date]],DailyWorkMetrics[EmployeeID]&amp;DailyWorkMetrics[Date],DailyWorkMetrics[MeetingsCount])</f>
        <v>6</v>
      </c>
      <c r="I38" s="6" cm="1">
        <f t="array" ref="I38">_xlfn.XLOOKUP(BurnoutScores[[#This Row],[EmployeeID]]&amp;BurnoutScores[[#This Row],[Date]],DailyWorkMetrics[EmployeeID]&amp;DailyWorkMetrics[Date],DailyWorkMetrics[FocusHours])</f>
        <v>2</v>
      </c>
      <c r="J38" s="6" cm="1">
        <f t="array" ref="J38">_xlfn.XLOOKUP(BurnoutScores[[#This Row],[EmployeeID]]&amp;BurnoutScores[[#This Row],[Date]],DailyWorkMetrics[EmployeeID]&amp;DailyWorkMetrics[Date],DailyWorkMetrics[TasksPending])</f>
        <v>10</v>
      </c>
      <c r="K38" s="6" cm="1">
        <f t="array" ref="K38">_xlfn.XLOOKUP(BurnoutScores[[#This Row],[EmployeeID]]&amp;BurnoutScores[[#This Row],[Date]],WellbeingMetrics[EmployeeID]&amp;WellbeingMetrics[Date],WellbeingMetrics[SleepHours])</f>
        <v>5.5</v>
      </c>
      <c r="L38" s="6" cm="1">
        <f t="array" ref="L38">_xlfn.XLOOKUP(BurnoutScores[[#This Row],[EmployeeID]]&amp;BurnoutScores[[#This Row],[Date]],WellbeingMetrics[EmployeeID]&amp;WellbeingMetrics[Date],WellbeingMetrics[StressLevel])</f>
        <v>7</v>
      </c>
      <c r="M38" s="6" cm="1">
        <f t="array" ref="M38">_xlfn.XLOOKUP(BurnoutScores[[#This Row],[EmployeeID]]&amp;BurnoutScores[[#This Row],[Date]],WellbeingMetrics[EmployeeID]&amp;WellbeingMetrics[Date],WellbeingMetrics[EnergyLevel])</f>
        <v>4</v>
      </c>
      <c r="N38" s="6" cm="1">
        <f t="array" ref="N38">_xlfn.XLOOKUP(BurnoutScores[[#This Row],[EmployeeID]]&amp;BurnoutScores[[#This Row],[Date]],WellbeingMetrics[EmployeeID]&amp;WellbeingMetrics[Date],WellbeingMetrics[BreaksTaken])</f>
        <v>1</v>
      </c>
      <c r="O38" s="6">
        <f>_xlfn.XLOOKUP(_xlfn.XLOOKUP(BurnoutScores[[#This Row],[EmployeeID]],Employees[EmployeeID],Employees[WorkModeID]),WorkMode[ID],WorkMode[Adjustment])</f>
        <v>-3</v>
      </c>
    </row>
    <row r="39" spans="1:15" x14ac:dyDescent="0.3">
      <c r="A39" s="6">
        <v>38</v>
      </c>
      <c r="B39" s="6">
        <v>108</v>
      </c>
      <c r="C39" s="12" t="d">
        <v>2026-04-04</v>
      </c>
      <c r="D39" s="8">
        <f t="shared" si="3"/>
        <v>12.5</v>
      </c>
      <c r="E39" s="9">
        <f t="shared" si="4"/>
        <v>1</v>
      </c>
      <c r="F39" s="10" t="str">
        <f t="shared" si="5"/>
        <v>Low recovery</v>
      </c>
      <c r="G39" s="6" cm="1">
        <f t="array" ref="G39">_xlfn.XLOOKUP(BurnoutScores[[#This Row],[EmployeeID]]&amp;BurnoutScores[[#This Row],[Date]],DailyWorkMetrics[EmployeeID]&amp;DailyWorkMetrics[Date],DailyWorkMetrics[Overtime])</f>
        <v>0</v>
      </c>
      <c r="H39" s="6" cm="1">
        <f t="array" ref="H39">_xlfn.XLOOKUP(BurnoutScores[[#This Row],[EmployeeID]]&amp;BurnoutScores[[#This Row],[Date]],DailyWorkMetrics[EmployeeID]&amp;DailyWorkMetrics[Date],DailyWorkMetrics[MeetingsCount])</f>
        <v>4</v>
      </c>
      <c r="I39" s="6" cm="1">
        <f t="array" ref="I39">_xlfn.XLOOKUP(BurnoutScores[[#This Row],[EmployeeID]]&amp;BurnoutScores[[#This Row],[Date]],DailyWorkMetrics[EmployeeID]&amp;DailyWorkMetrics[Date],DailyWorkMetrics[FocusHours])</f>
        <v>3.5</v>
      </c>
      <c r="J39" s="6" cm="1">
        <f t="array" ref="J39">_xlfn.XLOOKUP(BurnoutScores[[#This Row],[EmployeeID]]&amp;BurnoutScores[[#This Row],[Date]],DailyWorkMetrics[EmployeeID]&amp;DailyWorkMetrics[Date],DailyWorkMetrics[TasksPending])</f>
        <v>4</v>
      </c>
      <c r="K39" s="6" cm="1">
        <f t="array" ref="K39">_xlfn.XLOOKUP(BurnoutScores[[#This Row],[EmployeeID]]&amp;BurnoutScores[[#This Row],[Date]],WellbeingMetrics[EmployeeID]&amp;WellbeingMetrics[Date],WellbeingMetrics[SleepHours])</f>
        <v>4.5</v>
      </c>
      <c r="L39" s="6" cm="1">
        <f t="array" ref="L39">_xlfn.XLOOKUP(BurnoutScores[[#This Row],[EmployeeID]]&amp;BurnoutScores[[#This Row],[Date]],WellbeingMetrics[EmployeeID]&amp;WellbeingMetrics[Date],WellbeingMetrics[StressLevel])</f>
        <v>6</v>
      </c>
      <c r="M39" s="6" cm="1">
        <f t="array" ref="M39">_xlfn.XLOOKUP(BurnoutScores[[#This Row],[EmployeeID]]&amp;BurnoutScores[[#This Row],[Date]],WellbeingMetrics[EmployeeID]&amp;WellbeingMetrics[Date],WellbeingMetrics[EnergyLevel])</f>
        <v>4</v>
      </c>
      <c r="N39" s="6" cm="1">
        <f t="array" ref="N39">_xlfn.XLOOKUP(BurnoutScores[[#This Row],[EmployeeID]]&amp;BurnoutScores[[#This Row],[Date]],WellbeingMetrics[EmployeeID]&amp;WellbeingMetrics[Date],WellbeingMetrics[BreaksTaken])</f>
        <v>1</v>
      </c>
      <c r="O39" s="6">
        <f>_xlfn.XLOOKUP(_xlfn.XLOOKUP(BurnoutScores[[#This Row],[EmployeeID]],Employees[EmployeeID],Employees[WorkModeID]),WorkMode[ID],WorkMode[Adjustment])</f>
        <v>5</v>
      </c>
    </row>
    <row r="40" spans="1:15" x14ac:dyDescent="0.3">
      <c r="A40" s="6">
        <v>39</v>
      </c>
      <c r="B40" s="6">
        <v>109</v>
      </c>
      <c r="C40" s="12" t="d">
        <v>2026-04-04</v>
      </c>
      <c r="D40" s="8">
        <f t="shared" si="3"/>
        <v>11</v>
      </c>
      <c r="E40" s="9">
        <f t="shared" si="4"/>
        <v>1</v>
      </c>
      <c r="F40" s="10" t="str">
        <f t="shared" si="5"/>
        <v>Balanced workload</v>
      </c>
      <c r="G40" s="6" cm="1">
        <f t="array" ref="G40">_xlfn.XLOOKUP(BurnoutScores[[#This Row],[EmployeeID]]&amp;BurnoutScores[[#This Row],[Date]],DailyWorkMetrics[EmployeeID]&amp;DailyWorkMetrics[Date],DailyWorkMetrics[Overtime])</f>
        <v>1</v>
      </c>
      <c r="H40" s="6" cm="1">
        <f t="array" ref="H40">_xlfn.XLOOKUP(BurnoutScores[[#This Row],[EmployeeID]]&amp;BurnoutScores[[#This Row],[Date]],DailyWorkMetrics[EmployeeID]&amp;DailyWorkMetrics[Date],DailyWorkMetrics[MeetingsCount])</f>
        <v>5</v>
      </c>
      <c r="I40" s="6" cm="1">
        <f t="array" ref="I40">_xlfn.XLOOKUP(BurnoutScores[[#This Row],[EmployeeID]]&amp;BurnoutScores[[#This Row],[Date]],DailyWorkMetrics[EmployeeID]&amp;DailyWorkMetrics[Date],DailyWorkMetrics[FocusHours])</f>
        <v>3</v>
      </c>
      <c r="J40" s="6" cm="1">
        <f t="array" ref="J40">_xlfn.XLOOKUP(BurnoutScores[[#This Row],[EmployeeID]]&amp;BurnoutScores[[#This Row],[Date]],DailyWorkMetrics[EmployeeID]&amp;DailyWorkMetrics[Date],DailyWorkMetrics[TasksPending])</f>
        <v>5</v>
      </c>
      <c r="K40" s="6" cm="1">
        <f t="array" ref="K40">_xlfn.XLOOKUP(BurnoutScores[[#This Row],[EmployeeID]]&amp;BurnoutScores[[#This Row],[Date]],WellbeingMetrics[EmployeeID]&amp;WellbeingMetrics[Date],WellbeingMetrics[SleepHours])</f>
        <v>5</v>
      </c>
      <c r="L40" s="6" cm="1">
        <f t="array" ref="L40">_xlfn.XLOOKUP(BurnoutScores[[#This Row],[EmployeeID]]&amp;BurnoutScores[[#This Row],[Date]],WellbeingMetrics[EmployeeID]&amp;WellbeingMetrics[Date],WellbeingMetrics[StressLevel])</f>
        <v>6</v>
      </c>
      <c r="M40" s="6" cm="1">
        <f t="array" ref="M40">_xlfn.XLOOKUP(BurnoutScores[[#This Row],[EmployeeID]]&amp;BurnoutScores[[#This Row],[Date]],WellbeingMetrics[EmployeeID]&amp;WellbeingMetrics[Date],WellbeingMetrics[EnergyLevel])</f>
        <v>5</v>
      </c>
      <c r="N40" s="6" cm="1">
        <f t="array" ref="N40">_xlfn.XLOOKUP(BurnoutScores[[#This Row],[EmployeeID]]&amp;BurnoutScores[[#This Row],[Date]],WellbeingMetrics[EmployeeID]&amp;WellbeingMetrics[Date],WellbeingMetrics[BreaksTaken])</f>
        <v>2</v>
      </c>
      <c r="O40" s="6">
        <f>_xlfn.XLOOKUP(_xlfn.XLOOKUP(BurnoutScores[[#This Row],[EmployeeID]],Employees[EmployeeID],Employees[WorkModeID]),WorkMode[ID],WorkMode[Adjustment])</f>
        <v>2</v>
      </c>
    </row>
    <row r="41" spans="1:15" x14ac:dyDescent="0.3">
      <c r="A41" s="6">
        <v>40</v>
      </c>
      <c r="B41" s="6">
        <v>110</v>
      </c>
      <c r="C41" s="12" t="d">
        <v>2026-04-04</v>
      </c>
      <c r="D41" s="8">
        <f t="shared" si="3"/>
        <v>0</v>
      </c>
      <c r="E41" s="9">
        <f t="shared" si="4"/>
        <v>1</v>
      </c>
      <c r="F41" s="10" t="str">
        <f t="shared" si="5"/>
        <v>Balanced workload</v>
      </c>
      <c r="G41" s="6" cm="1">
        <f t="array" ref="G41">_xlfn.XLOOKUP(BurnoutScores[[#This Row],[EmployeeID]]&amp;BurnoutScores[[#This Row],[Date]],DailyWorkMetrics[EmployeeID]&amp;DailyWorkMetrics[Date],DailyWorkMetrics[Overtime])</f>
        <v>0</v>
      </c>
      <c r="H41" s="6" cm="1">
        <f t="array" ref="H41">_xlfn.XLOOKUP(BurnoutScores[[#This Row],[EmployeeID]]&amp;BurnoutScores[[#This Row],[Date]],DailyWorkMetrics[EmployeeID]&amp;DailyWorkMetrics[Date],DailyWorkMetrics[MeetingsCount])</f>
        <v>2</v>
      </c>
      <c r="I41" s="6" cm="1">
        <f t="array" ref="I41">_xlfn.XLOOKUP(BurnoutScores[[#This Row],[EmployeeID]]&amp;BurnoutScores[[#This Row],[Date]],DailyWorkMetrics[EmployeeID]&amp;DailyWorkMetrics[Date],DailyWorkMetrics[FocusHours])</f>
        <v>5</v>
      </c>
      <c r="J41" s="6" cm="1">
        <f t="array" ref="J41">_xlfn.XLOOKUP(BurnoutScores[[#This Row],[EmployeeID]]&amp;BurnoutScores[[#This Row],[Date]],DailyWorkMetrics[EmployeeID]&amp;DailyWorkMetrics[Date],DailyWorkMetrics[TasksPending])</f>
        <v>1</v>
      </c>
      <c r="K41" s="6" cm="1">
        <f t="array" ref="K41">_xlfn.XLOOKUP(BurnoutScores[[#This Row],[EmployeeID]]&amp;BurnoutScores[[#This Row],[Date]],WellbeingMetrics[EmployeeID]&amp;WellbeingMetrics[Date],WellbeingMetrics[SleepHours])</f>
        <v>8</v>
      </c>
      <c r="L41" s="6" cm="1">
        <f t="array" ref="L41">_xlfn.XLOOKUP(BurnoutScores[[#This Row],[EmployeeID]]&amp;BurnoutScores[[#This Row],[Date]],WellbeingMetrics[EmployeeID]&amp;WellbeingMetrics[Date],WellbeingMetrics[StressLevel])</f>
        <v>2</v>
      </c>
      <c r="M41" s="6" cm="1">
        <f t="array" ref="M41">_xlfn.XLOOKUP(BurnoutScores[[#This Row],[EmployeeID]]&amp;BurnoutScores[[#This Row],[Date]],WellbeingMetrics[EmployeeID]&amp;WellbeingMetrics[Date],WellbeingMetrics[EnergyLevel])</f>
        <v>8</v>
      </c>
      <c r="N41" s="6" cm="1">
        <f t="array" ref="N41">_xlfn.XLOOKUP(BurnoutScores[[#This Row],[EmployeeID]]&amp;BurnoutScores[[#This Row],[Date]],WellbeingMetrics[EmployeeID]&amp;WellbeingMetrics[Date],WellbeingMetrics[BreaksTaken])</f>
        <v>4</v>
      </c>
      <c r="O41" s="6">
        <f>_xlfn.XLOOKUP(_xlfn.XLOOKUP(BurnoutScores[[#This Row],[EmployeeID]],Employees[EmployeeID],Employees[WorkModeID]),WorkMode[ID],WorkMode[Adjustment])</f>
        <v>-3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A1A35-641C-4A46-B5E2-E0E708A02949}">
  <dimension ref="A1:E5"/>
  <sheetViews>
    <sheetView zoomScale="190" zoomScaleNormal="190" workbookViewId="0">
      <selection sqref="A1:E5"/>
    </sheetView>
  </sheetViews>
  <sheetFormatPr defaultRowHeight="14.4" x14ac:dyDescent="0.3"/>
  <cols>
    <col min="1" max="1" width="8.88671875" style="4"/>
    <col min="2" max="2" width="8.88671875" style="2"/>
    <col min="3" max="3" width="9.5546875" style="4" customWidth="1"/>
    <col min="4" max="4" width="9.88671875" style="4" customWidth="1"/>
    <col min="5" max="5" width="53.5546875" style="2" bestFit="1" customWidth="1"/>
  </cols>
  <sheetData>
    <row r="1" spans="1:5" x14ac:dyDescent="0.3">
      <c r="A1" s="4" t="s">
        <v>5</v>
      </c>
      <c r="B1" s="2" t="s">
        <v>22</v>
      </c>
      <c r="C1" s="4" t="s">
        <v>23</v>
      </c>
      <c r="D1" s="4" t="s">
        <v>24</v>
      </c>
      <c r="E1" s="2" t="s">
        <v>25</v>
      </c>
    </row>
    <row r="2" spans="1:5" x14ac:dyDescent="0.3">
      <c r="A2" s="4">
        <v>1</v>
      </c>
      <c r="B2" s="2" t="s">
        <v>31</v>
      </c>
      <c r="C2" s="4">
        <v>0</v>
      </c>
      <c r="D2" s="4">
        <v>30</v>
      </c>
      <c r="E2" t="s">
        <v>35</v>
      </c>
    </row>
    <row r="3" spans="1:5" x14ac:dyDescent="0.3">
      <c r="A3" s="4">
        <v>2</v>
      </c>
      <c r="B3" s="2" t="s">
        <v>32</v>
      </c>
      <c r="C3" s="4">
        <v>31</v>
      </c>
      <c r="D3" s="4">
        <v>50</v>
      </c>
      <c r="E3" t="s">
        <v>36</v>
      </c>
    </row>
    <row r="4" spans="1:5" x14ac:dyDescent="0.3">
      <c r="A4" s="4">
        <v>3</v>
      </c>
      <c r="B4" s="2" t="s">
        <v>33</v>
      </c>
      <c r="C4" s="4">
        <v>51</v>
      </c>
      <c r="D4" s="4">
        <v>80</v>
      </c>
      <c r="E4" t="s">
        <v>37</v>
      </c>
    </row>
    <row r="5" spans="1:5" x14ac:dyDescent="0.3">
      <c r="A5" s="4">
        <v>4</v>
      </c>
      <c r="B5" s="2" t="s">
        <v>34</v>
      </c>
      <c r="C5" s="4">
        <v>81</v>
      </c>
      <c r="D5" s="4">
        <v>100</v>
      </c>
      <c r="E5" t="s">
        <v>38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9D3EE-87D8-4670-831E-7C9E8EC59561}">
  <dimension ref="A1:D9"/>
  <sheetViews>
    <sheetView zoomScale="235" zoomScaleNormal="235" workbookViewId="0"/>
  </sheetViews>
  <sheetFormatPr defaultRowHeight="14.4" x14ac:dyDescent="0.3"/>
  <cols>
    <col min="1" max="1" width="8.88671875" style="4"/>
    <col min="2" max="2" width="18.5546875" style="2" customWidth="1"/>
    <col min="3" max="3" width="10.33203125" style="4" customWidth="1"/>
  </cols>
  <sheetData>
    <row r="1" spans="1:4" x14ac:dyDescent="0.3">
      <c r="A1" s="4" t="s">
        <v>5</v>
      </c>
      <c r="B1" s="2" t="s">
        <v>26</v>
      </c>
      <c r="C1" s="4" t="s">
        <v>27</v>
      </c>
    </row>
    <row r="2" spans="1:4" x14ac:dyDescent="0.3">
      <c r="A2" s="6">
        <v>1</v>
      </c>
      <c r="B2" s="6" t="s">
        <v>39</v>
      </c>
      <c r="C2" s="6">
        <v>1001</v>
      </c>
      <c r="D2" s="6"/>
    </row>
    <row r="3" spans="1:4" x14ac:dyDescent="0.3">
      <c r="A3" s="6">
        <v>2</v>
      </c>
      <c r="B3" s="6" t="s">
        <v>40</v>
      </c>
      <c r="C3" s="6">
        <v>1005</v>
      </c>
      <c r="D3" s="6"/>
    </row>
    <row r="4" spans="1:4" x14ac:dyDescent="0.3">
      <c r="A4" s="6">
        <v>3</v>
      </c>
      <c r="B4" s="6" t="s">
        <v>41</v>
      </c>
      <c r="C4" s="6">
        <v>1023</v>
      </c>
      <c r="D4" s="6"/>
    </row>
    <row r="5" spans="1:4" x14ac:dyDescent="0.3">
      <c r="A5" s="6">
        <v>4</v>
      </c>
      <c r="B5" s="6" t="s">
        <v>42</v>
      </c>
      <c r="C5" s="6">
        <v>1009</v>
      </c>
      <c r="D5" s="6"/>
    </row>
    <row r="6" spans="1:4" x14ac:dyDescent="0.3">
      <c r="A6" s="6">
        <v>5</v>
      </c>
      <c r="B6" s="6" t="s">
        <v>43</v>
      </c>
      <c r="C6" s="6">
        <v>1003</v>
      </c>
      <c r="D6" s="6"/>
    </row>
    <row r="7" spans="1:4" x14ac:dyDescent="0.3">
      <c r="A7" s="6">
        <v>6</v>
      </c>
      <c r="B7" s="6" t="s">
        <v>44</v>
      </c>
      <c r="C7" s="6">
        <v>1008</v>
      </c>
      <c r="D7" s="6"/>
    </row>
    <row r="8" spans="1:4" x14ac:dyDescent="0.3">
      <c r="A8" s="6">
        <v>7</v>
      </c>
      <c r="B8" s="6" t="s">
        <v>45</v>
      </c>
      <c r="C8" s="6">
        <v>1014</v>
      </c>
      <c r="D8" s="6"/>
    </row>
    <row r="9" spans="1:4" x14ac:dyDescent="0.3">
      <c r="A9" s="6">
        <v>8</v>
      </c>
      <c r="B9" s="6" t="s">
        <v>46</v>
      </c>
      <c r="C9" s="6">
        <v>1010</v>
      </c>
      <c r="D9" s="6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1D309-F361-41FE-A531-D7A90BBAF716}">
  <dimension ref="A1:C4"/>
  <sheetViews>
    <sheetView zoomScale="245" workbookViewId="0">
      <selection activeCell="C5" sqref="C5"/>
    </sheetView>
  </sheetViews>
  <sheetFormatPr defaultRowHeight="14.4" x14ac:dyDescent="0.3"/>
  <cols>
    <col min="1" max="1" width="8.88671875" style="1"/>
    <col min="2" max="2" width="8.88671875" style="2"/>
    <col min="3" max="3" width="11" style="4" customWidth="1"/>
  </cols>
  <sheetData>
    <row r="1" spans="1:3" x14ac:dyDescent="0.3">
      <c r="A1" s="1" t="s">
        <v>5</v>
      </c>
      <c r="B1" s="2" t="s">
        <v>22</v>
      </c>
      <c r="C1" s="4" t="s">
        <v>28</v>
      </c>
    </row>
    <row r="2" spans="1:3" x14ac:dyDescent="0.3">
      <c r="A2" s="4">
        <v>1</v>
      </c>
      <c r="B2" s="2" t="s">
        <v>47</v>
      </c>
      <c r="C2" s="4">
        <v>5</v>
      </c>
    </row>
    <row r="3" spans="1:3" x14ac:dyDescent="0.3">
      <c r="A3" s="4">
        <v>2</v>
      </c>
      <c r="B3" s="2" t="s">
        <v>29</v>
      </c>
      <c r="C3" s="4">
        <v>-3</v>
      </c>
    </row>
    <row r="4" spans="1:3" x14ac:dyDescent="0.3">
      <c r="A4" s="4">
        <v>3</v>
      </c>
      <c r="B4" s="2" t="s">
        <v>30</v>
      </c>
      <c r="C4" s="4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Employees</vt:lpstr>
      <vt:lpstr>DailyWorkMetrics</vt:lpstr>
      <vt:lpstr>WellbeingMetrics</vt:lpstr>
      <vt:lpstr>BurnoutScores</vt:lpstr>
      <vt:lpstr>Risk</vt:lpstr>
      <vt:lpstr>Departments</vt:lpstr>
      <vt:lpstr>WorkMode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Людмилова</dc:creator>
  <cp:lastModifiedBy>Анастасия Людмилова</cp:lastModifiedBy>
  <dcterms:created xsi:type="dcterms:W3CDTF">2026-05-12T17:32:13Z</dcterms:created>
  <dcterms:modified xsi:type="dcterms:W3CDTF">2026-05-12T19:52:41Z</dcterms:modified>
</cp:coreProperties>
</file>